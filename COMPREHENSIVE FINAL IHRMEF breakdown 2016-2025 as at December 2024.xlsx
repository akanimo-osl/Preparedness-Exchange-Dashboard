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ola\Desktop\2024\SIMEX AND AAR conducted\2025 inclusive\"/>
    </mc:Choice>
  </mc:AlternateContent>
  <xr:revisionPtr revIDLastSave="0" documentId="13_ncr:1_{A5093BA9-7D22-464E-B39B-9671C301A0C6}" xr6:coauthVersionLast="47" xr6:coauthVersionMax="47" xr10:uidLastSave="{00000000-0000-0000-0000-000000000000}"/>
  <bookViews>
    <workbookView xWindow="-120" yWindow="-120" windowWidth="29040" windowHeight="18720" activeTab="1" xr2:uid="{115B98D9-3517-45CA-B7F1-8E2D594BB5D3}"/>
  </bookViews>
  <sheets>
    <sheet name="2016-2023 IHRMEF SUMMARY (3)" sheetId="5" r:id="rId1"/>
    <sheet name="Manuscript" sheetId="3" r:id="rId2"/>
    <sheet name="Practice " sheetId="1" r:id="rId3"/>
    <sheet name="Sheet1" sheetId="4" r:id="rId4"/>
    <sheet name="CHARTS" sheetId="2" r:id="rId5"/>
  </sheets>
  <definedNames>
    <definedName name="_ftn1" localSheetId="0">'2016-2023 IHRMEF SUMMARY (3)'!$G$6</definedName>
    <definedName name="_ftn1" localSheetId="1">Manuscript!#REF!</definedName>
    <definedName name="_ftn1" localSheetId="2">'Practice '!#REF!</definedName>
    <definedName name="_ftnref1" localSheetId="0">'2016-2023 IHRMEF SUMMARY (3)'!$G$3</definedName>
    <definedName name="_ftnref1" localSheetId="1">Manuscript!#REF!</definedName>
    <definedName name="_ftnref1" localSheetId="2">'Practice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3" l="1"/>
  <c r="D21" i="3"/>
  <c r="C21" i="3"/>
  <c r="D17" i="3"/>
  <c r="C17" i="3"/>
  <c r="D11" i="3"/>
  <c r="C11" i="3"/>
  <c r="E16" i="3"/>
  <c r="E15" i="3"/>
  <c r="E14" i="3"/>
  <c r="E86" i="5"/>
  <c r="E85" i="5"/>
  <c r="E84" i="5"/>
  <c r="E83" i="5"/>
  <c r="E82" i="5"/>
  <c r="E81" i="5"/>
  <c r="E80" i="5"/>
  <c r="E79" i="5"/>
  <c r="D76" i="5"/>
  <c r="C76" i="5"/>
  <c r="E76" i="5" s="1"/>
  <c r="E75" i="5"/>
  <c r="E74" i="5"/>
  <c r="E70" i="5"/>
  <c r="E69" i="5"/>
  <c r="E68" i="5"/>
  <c r="E67" i="5"/>
  <c r="D62" i="5"/>
  <c r="C62" i="5"/>
  <c r="E62" i="5" s="1"/>
  <c r="E61" i="5"/>
  <c r="E60" i="5"/>
  <c r="E59" i="5"/>
  <c r="E58" i="5"/>
  <c r="E57" i="5"/>
  <c r="E56" i="5"/>
  <c r="E55" i="5"/>
  <c r="E54" i="5"/>
  <c r="D51" i="5"/>
  <c r="C51" i="5"/>
  <c r="E51" i="5" s="1"/>
  <c r="E50" i="5"/>
  <c r="E49" i="5"/>
  <c r="E48" i="5"/>
  <c r="E47" i="5"/>
  <c r="E46" i="5"/>
  <c r="E45" i="5"/>
  <c r="E44" i="5"/>
  <c r="E43" i="5"/>
  <c r="E41" i="5"/>
  <c r="E40" i="5"/>
  <c r="D38" i="5"/>
  <c r="C38" i="5"/>
  <c r="E37" i="5"/>
  <c r="E36" i="5"/>
  <c r="E35" i="5"/>
  <c r="E33" i="5"/>
  <c r="E32" i="5"/>
  <c r="E30" i="5"/>
  <c r="E29" i="5"/>
  <c r="E28" i="5"/>
  <c r="D25" i="5"/>
  <c r="C25" i="5"/>
  <c r="E25" i="5" s="1"/>
  <c r="E24" i="5"/>
  <c r="E23" i="5"/>
  <c r="E22" i="5"/>
  <c r="E21" i="5"/>
  <c r="E20" i="5"/>
  <c r="E19" i="5"/>
  <c r="E18" i="5"/>
  <c r="E17" i="5"/>
  <c r="E16" i="5"/>
  <c r="E15" i="5"/>
  <c r="D12" i="5"/>
  <c r="C12" i="5"/>
  <c r="E12" i="5" s="1"/>
  <c r="E11" i="5"/>
  <c r="E10" i="5"/>
  <c r="E9" i="5"/>
  <c r="E8" i="5"/>
  <c r="E7" i="5"/>
  <c r="E6" i="5"/>
  <c r="E5" i="5"/>
  <c r="E4" i="5"/>
  <c r="E3" i="5"/>
  <c r="E2" i="5"/>
  <c r="E17" i="3" l="1"/>
  <c r="E38" i="5"/>
  <c r="E20" i="3"/>
  <c r="E19" i="3"/>
  <c r="E10" i="3" l="1"/>
  <c r="D5" i="3"/>
  <c r="E4" i="3"/>
  <c r="C5" i="3"/>
  <c r="E56" i="3"/>
  <c r="E9" i="3"/>
  <c r="E67" i="3"/>
  <c r="E66" i="3"/>
  <c r="E65" i="3"/>
  <c r="E64" i="3"/>
  <c r="E63" i="3"/>
  <c r="E62" i="3"/>
  <c r="E61" i="3"/>
  <c r="E60" i="3"/>
  <c r="F8" i="1"/>
  <c r="D57" i="3"/>
  <c r="C57" i="3"/>
  <c r="E55" i="3"/>
  <c r="E51" i="3"/>
  <c r="E50" i="3"/>
  <c r="E49" i="3"/>
  <c r="E48" i="3"/>
  <c r="D43" i="3"/>
  <c r="C43" i="3"/>
  <c r="E42" i="3"/>
  <c r="E41" i="3"/>
  <c r="E40" i="3"/>
  <c r="E39" i="3"/>
  <c r="E38" i="3"/>
  <c r="E37" i="3"/>
  <c r="E36" i="3"/>
  <c r="E35" i="3"/>
  <c r="D32" i="3"/>
  <c r="C32" i="3"/>
  <c r="E31" i="3"/>
  <c r="E30" i="3"/>
  <c r="E29" i="3"/>
  <c r="E28" i="3"/>
  <c r="E27" i="3"/>
  <c r="E26" i="3"/>
  <c r="E25" i="3"/>
  <c r="E24" i="3"/>
  <c r="E8" i="3"/>
  <c r="E3" i="3"/>
  <c r="E2" i="3"/>
  <c r="F12" i="1"/>
  <c r="F10" i="1"/>
  <c r="F6" i="1"/>
  <c r="F4" i="1"/>
  <c r="F2" i="1"/>
  <c r="E11" i="3" l="1"/>
  <c r="E57" i="3"/>
  <c r="E5" i="3"/>
  <c r="E43" i="3"/>
  <c r="E32" i="3"/>
</calcChain>
</file>

<file path=xl/sharedStrings.xml><?xml version="1.0" encoding="utf-8"?>
<sst xmlns="http://schemas.openxmlformats.org/spreadsheetml/2006/main" count="156" uniqueCount="86">
  <si>
    <t>AFRO</t>
  </si>
  <si>
    <t xml:space="preserve">% Contribution by AFRO </t>
  </si>
  <si>
    <t xml:space="preserve">African countries involved </t>
  </si>
  <si>
    <t>After Action Reviews</t>
  </si>
  <si>
    <t xml:space="preserve">SIMULATION EXERCISE </t>
  </si>
  <si>
    <t>Year</t>
  </si>
  <si>
    <t xml:space="preserve">Angola – Yellow fever (November 20-24), Benin – Lassa fever (July 10-14), Burkina Faso – Dengue (February 13-15), Central African Republic – Cholera (November 13-17), , Mauritania – Crimean Congo haemorrhagic fever (September 18-22), Mozambique – Cholera (July 24-28), Namibia - Crimean Congo haemorrhagic fever (December 11-15), Niger – Rift Valley fever (November 20-24), Nigeria – Lassa fever (August 21-22), Sierra Leone – Landslide (September), Togo – Lassa fever and Meningitis (October 24-27), United Republic of Tanzania – Cholera (August 14-18), </t>
  </si>
  <si>
    <t xml:space="preserve">Cabo Verde – Zika (February 25 – March 01), Benin – Lassa Fever (May 27-31), Nigeria – Yellow Fever (June 17-21), Senegal – Dengue Fever (June 11-15), Uganda EVD (August 28-30), Ethiopia – Cholera (October 23-26), Mozambique – Cyclones IDAI and Kenneth (November 4-8), Zambia – Cholera (November 11-14), </t>
  </si>
  <si>
    <t>Democratic Republic of the Congo – EVD (7-10 June), Côte d’Ivoire – EVD (1-16 September), Guinea – Ebola and Marburg (Nov 26 - Dec 1)</t>
  </si>
  <si>
    <t>Lesotho – Measles Rubella SIA Campaign (14-17 February), Uganda - Sudan Ebola Virus Disease (SUDV) (Sub-national 8 - 9 February and national 13 – 16 February), Ghana – MVD (12 – 14 April), Cabo Verde – COVID-19 (3 – 7 July), Tanzania – MVD (5-7 July), Liberia- COVID-19 (17-20 July), Equatorial Guinea-MVD (31 July-04 August), Mali - COVID-19 (28 August-01 September), Malawi – Cholera (2-6 October), Angola – COVID-19 (03 Oct – 01 Nov), Kenya – Cholera (31 October – 4 November), Mauritania-COVID-19 (13-17 November); Sierra Leone-COVID-19 (14-16); Senegal (December 2023).</t>
  </si>
  <si>
    <t>GLOBAL</t>
  </si>
  <si>
    <t>Intra-Action Reviews</t>
  </si>
  <si>
    <t>Guinea Bissau (COVID-19) (23-27 January), Cameroon (Cholera) (10 – 17 March), Comoros (COVID-19) (14-17 March), Madagascar (Southern part - nutritional/humanitarian crisis due to drought) (20-25 March), Burundi (Cholera) (6-8 November).</t>
  </si>
  <si>
    <t xml:space="preserve">INTRA-ACTION REVIEWS </t>
  </si>
  <si>
    <t xml:space="preserve">AFTER-ACTION REVIEWS </t>
  </si>
  <si>
    <t xml:space="preserve">NAPHS </t>
  </si>
  <si>
    <t>United Republic of Tanzania (November 14-18)</t>
  </si>
  <si>
    <t>Eritrea (April 4-8), Liberia (November 27-30), Morocco (June 19-23), Mozambique (October 11-13), Namibia (October 31 - November 2), Senegal (September 12-14), Sierra Leone, (November 7-10), Uganda (October 10-13)</t>
  </si>
  <si>
    <t>Benin (April 24-27), Burkina Faso (October 8-12), Burundi (December 3-7), Cameroon (December 10-14), Chad (April 16-20), Comoros (September 3-7), Côte d’Ivoire (March 20-22), Ethiopia (April 30-May 2), Ghana (June 18-22), Kenya (July 23-27), Libya (July 14-16), Mauritania (March 5-9), Nigeria (July 23-27), Somalia (August 26-28), South Africa (September 25-27), Sudan (August 12-14), United Republic of Tanzania (Zanzibar) (June 18-22)</t>
  </si>
  <si>
    <t>Democratic Republic of the Congo (May 13-17), Djibouti (4-7 Aug), Guinea (April 15–19), Rwanda (May 6-10), Tunisia (April 22-24), Zimbabwe (February 18-22), Zambia (March 4-8), Eswatini (19–23 August), Niger (19–23 August), Lesotho (9–13 September), South Sudan (16-20 September)</t>
  </si>
  <si>
    <t>Malawi (17-19 February), Botswana (16-20 March), Madagascar (1 Jul – 7 Jul), Mali (9–13 November)</t>
  </si>
  <si>
    <t>Central African Republic, (23-26 March), Gabon (6-10 September), Gambia (18-22 October), Angola (15-19 November), Guinea Bissau (13-19 December), Togo (July), Burkina Faso ǂ, Guinea ‡, Liberia ‡, Senegal ‡</t>
  </si>
  <si>
    <t>Republic of Congoǂ (28 February – 4 March), Eritreaǂ (March), Cabo Verdeǂ (12-22 April), Cameroonǂ (30 May-03 June), South Africaǂ (23-27 May), Côte d’Ivoire ‡ (6 Jun – 11 Jun), Lesothoǂ (13-17 June), Namibia ‡ (13-17 jun), Tunisiaǂ (28 June – 1 July), Botswanaǂ (22-27 August), Uganda (12 – 14 Sep), Sudan ǂ (18-19 October), Madagascar ‡ (14 – 18 Nov), Rwanda ǂ (14-19 November), Mauritius (21-25 Nov), Central African Republicǂ (7-15 December) , Democratic Republic of Congo ‡, Ethiopia ‡, Kenya ‡, Tanzania ‡</t>
  </si>
  <si>
    <t>Nigeriaǂ (16 – 20 January), Sierra Leoneǂ  (27-29 March), Beninǂ (02 – 05 May), Malawi (September); Guineaǂ (13-17 November)</t>
  </si>
  <si>
    <t xml:space="preserve">NBWs </t>
  </si>
  <si>
    <t>Senegal (November 14-16), Uganda (September 25-27), United Republic of Tanzania (October 16-18)</t>
  </si>
  <si>
    <t>Chad (October 30 – November 1), Ethiopia (May 29-31), Guinea (July 17-19), Liberia (November 26-30), Mauritania (December 18-20), Morocco (January 22-26), Sierra Leone (July 31 - August 2)</t>
  </si>
  <si>
    <t>Benin (May 15-17), Niger (April 16-19), Nigeria (December 9-11),</t>
  </si>
  <si>
    <t>Mali (February 19-21)</t>
  </si>
  <si>
    <t>The Gambia (February 2-4), Côte d’Ivoire (23-25 March 2021), Cameroon (10 – 12 August), Kenya (16-19 November)</t>
  </si>
  <si>
    <t>Gabon (22 – 24 June), Congo (28 – 30 June), Zambia (19-21 October), Ghana (22-24 November)</t>
  </si>
  <si>
    <t>Togo (6-9 June), Central African Republic (21-23 June), South Africa (4-6 September), Somalia (13-15 November), Tunisia (5-7 December 2023)</t>
  </si>
  <si>
    <t>Total</t>
  </si>
  <si>
    <t xml:space="preserve">Total </t>
  </si>
  <si>
    <t>South Sudan – Flood (15 July)</t>
  </si>
  <si>
    <t>JEE</t>
  </si>
  <si>
    <t>No of AFRO Countries</t>
  </si>
  <si>
    <t>Côte d'Ivoire (December 5-9), Eritrea (October 3-7), Ethiopia (February 29 – March 4), Liberia (September 5-9), Morocco (June 20-24), Mozambique (April 18-22), Namibia (November 28 - December 2), Senegal (November 28 - December 2), Sierra Leone (October 31 – November 4), Somalia (September 25-30), Sudan (October 9-13), Tunisia (November 28 - December 2), United Republic of Tanzania (February 22-26)</t>
  </si>
  <si>
    <t>Benin (May 22-26), Botswana (December 03-08), Burkina Faso (December 03-08), Cameroon (September 24-29), Chad (August 7-11), Comoros (August 20-25), Gambia (September 24-29), Ghana (February 6-10), Guinea (April 23-28), Kenya (February 27-March 3), Lesotho (July 10-14), Madagascar (July 10-14Mali (June 26-30), Mauritania (March 27-31), Nigeria (June 11-20), South Africa (November 26 – December 01), South Sudan (October 15-20), Uganda (June 26-30), United Republic of Tanzania (Zanzibar) (April 23-28), Zambia (August 7-11)</t>
  </si>
  <si>
    <t xml:space="preserve">	2018 (13/24 countries): Burundi (March 11-16), Central African Republic (November 25-30), Democratic Republic of the Congo (March 11-16), Djibouti (July 1-5), Egypt (30 Sept– 4 Oct), Kingdom of Eswatini (April 08-13), Libya (July 8-14), Mauritius (October 28 – November 2), Niger (July 15-20), Rwanda (May 14-18), Seychelles (March 05-09), Togo (April 16-20), Zimbabwe (February 19-23)</t>
  </si>
  <si>
    <t>Angola (November 17-22), Cabo Verde (November 3 – 8), Congo (March 10-15), Dominican Republic (September 15 – 21), Equatorial Guinea (December 8-13), Gabon (June 30 – July 5), Guinea Bissau (July 7 – 12), Malawi (February 11-15), Sao Tome &amp; Principe (May 12-17)</t>
  </si>
  <si>
    <r>
      <rPr>
        <sz val="11"/>
        <color rgb="FFFF0000"/>
        <rFont val="Aptos Narrow"/>
        <family val="2"/>
        <scheme val="minor"/>
      </rPr>
      <t>Democratic Republic of Congo (North Kivu province)* (21-22 January),</t>
    </r>
    <r>
      <rPr>
        <sz val="11"/>
        <color theme="1"/>
        <rFont val="Aptos Narrow"/>
        <family val="2"/>
        <scheme val="minor"/>
      </rPr>
      <t xml:space="preserve"> Tanzania* (21-23 February), </t>
    </r>
    <r>
      <rPr>
        <sz val="11"/>
        <color rgb="FFFF0000"/>
        <rFont val="Aptos Narrow"/>
        <family val="2"/>
        <scheme val="minor"/>
      </rPr>
      <t xml:space="preserve">Democratic Republic of Congo* (Haut-Katanga province) (28 Feb – 4 March), </t>
    </r>
    <r>
      <rPr>
        <sz val="11"/>
        <color theme="1"/>
        <rFont val="Aptos Narrow"/>
        <family val="2"/>
        <scheme val="minor"/>
      </rPr>
      <t xml:space="preserve">Burundi (24-25 March), Cameroon* (2-6 April), Namibia (20 April- 14 May), South Sudan (23-24 May), Tunisia (24-26 May), </t>
    </r>
    <r>
      <rPr>
        <sz val="11"/>
        <color rgb="FFFF0000"/>
        <rFont val="Aptos Narrow"/>
        <family val="2"/>
        <scheme val="minor"/>
      </rPr>
      <t xml:space="preserve">Democratic Republic of Congo* (Kasai Oriental province) (6-7 May), </t>
    </r>
    <r>
      <rPr>
        <sz val="11"/>
        <color theme="1"/>
        <rFont val="Aptos Narrow"/>
        <family val="2"/>
        <scheme val="minor"/>
      </rPr>
      <t xml:space="preserve">Ivory Coast (31 May - 3 June), Uganda (6-7 June), </t>
    </r>
    <r>
      <rPr>
        <sz val="11"/>
        <color rgb="FFFF0000"/>
        <rFont val="Aptos Narrow"/>
        <family val="2"/>
        <scheme val="minor"/>
      </rPr>
      <t xml:space="preserve">Democratic Republic of Congo* (Kongo Central province) (7-11 June, </t>
    </r>
    <r>
      <rPr>
        <sz val="11"/>
        <color theme="1"/>
        <rFont val="Aptos Narrow"/>
        <family val="2"/>
        <scheme val="minor"/>
      </rPr>
      <t xml:space="preserve">Malawi (Cross-border joint IARs with </t>
    </r>
    <r>
      <rPr>
        <sz val="11"/>
        <color rgb="FF00B0F0"/>
        <rFont val="Aptos Narrow"/>
        <family val="2"/>
        <scheme val="minor"/>
      </rPr>
      <t>Mozambique</t>
    </r>
    <r>
      <rPr>
        <sz val="11"/>
        <color theme="1"/>
        <rFont val="Aptos Narrow"/>
        <family val="2"/>
        <scheme val="minor"/>
      </rPr>
      <t xml:space="preserve"> on Polio, Cholera) (28-30 June &amp; 05-08 July), Gabon (22-24 July), </t>
    </r>
    <r>
      <rPr>
        <sz val="11"/>
        <color rgb="FFFF0000"/>
        <rFont val="Aptos Narrow"/>
        <family val="2"/>
        <scheme val="minor"/>
      </rPr>
      <t>Democratic Republic of Congo* (Lualaba province) (8-10 September),</t>
    </r>
    <r>
      <rPr>
        <sz val="11"/>
        <color theme="1"/>
        <rFont val="Aptos Narrow"/>
        <family val="2"/>
        <scheme val="minor"/>
      </rPr>
      <t xml:space="preserve"> Seychelles (5-7 September); Malawi (Cholera) (20-28 Nov 2022), </t>
    </r>
    <r>
      <rPr>
        <sz val="11"/>
        <color rgb="FFFF0000"/>
        <rFont val="Aptos Narrow"/>
        <family val="2"/>
        <scheme val="minor"/>
      </rPr>
      <t>Democratic Republic of Congo* (Haut-Katanga province) (13-17 December)</t>
    </r>
  </si>
  <si>
    <r>
      <rPr>
        <sz val="11"/>
        <color rgb="FFFF0000"/>
        <rFont val="Aptos Narrow"/>
        <family val="2"/>
        <scheme val="minor"/>
      </rPr>
      <t xml:space="preserve">Tanzania (Zanzibar) (25-29 January), </t>
    </r>
    <r>
      <rPr>
        <sz val="11"/>
        <color theme="1"/>
        <rFont val="Aptos Narrow"/>
        <family val="2"/>
        <scheme val="minor"/>
      </rPr>
      <t xml:space="preserve">Cameroon (22-26 February), Burundi (9-12 March), </t>
    </r>
    <r>
      <rPr>
        <sz val="11"/>
        <color rgb="FFFF0000"/>
        <rFont val="Aptos Narrow"/>
        <family val="2"/>
        <scheme val="minor"/>
      </rPr>
      <t>Gambia (6 – 10 April),</t>
    </r>
    <r>
      <rPr>
        <sz val="11"/>
        <color theme="1"/>
        <rFont val="Aptos Narrow"/>
        <family val="2"/>
        <scheme val="minor"/>
      </rPr>
      <t xml:space="preserve"> Lesotho (13-14 April), Botswana* (21 April), Guinea (25-28 May), Kenya (31 May – 1 June), Seychelles (15 Jun-2 July), Benin (16-18 June), </t>
    </r>
    <r>
      <rPr>
        <sz val="11"/>
        <color rgb="FFFF0000"/>
        <rFont val="Aptos Narrow"/>
        <family val="2"/>
        <scheme val="minor"/>
      </rPr>
      <t>Gambia* (28-29 June),</t>
    </r>
    <r>
      <rPr>
        <sz val="11"/>
        <color theme="1"/>
        <rFont val="Aptos Narrow"/>
        <family val="2"/>
        <scheme val="minor"/>
      </rPr>
      <t xml:space="preserve"> Senegal* (7-8 July), Congo* (20-21 July), Ghana*  (21-22 July), </t>
    </r>
    <r>
      <rPr>
        <sz val="11"/>
        <color rgb="FFFF0000"/>
        <rFont val="Aptos Narrow"/>
        <family val="2"/>
        <scheme val="minor"/>
      </rPr>
      <t>Tanzania (21-23 July),</t>
    </r>
    <r>
      <rPr>
        <sz val="11"/>
        <color theme="1"/>
        <rFont val="Aptos Narrow"/>
        <family val="2"/>
        <scheme val="minor"/>
      </rPr>
      <t xml:space="preserve"> Uganda*  (22-23 July), Ethiopia*  (23-24 July), Somalia* (5-6 July), Democratic Republic of Congo*  (27-29 July), Madagascar (28-30 July), Liberia*  (28-30 July), </t>
    </r>
    <r>
      <rPr>
        <sz val="11"/>
        <color rgb="FFFF0000"/>
        <rFont val="Aptos Narrow"/>
        <family val="2"/>
        <scheme val="minor"/>
      </rPr>
      <t>São Tomé and Principe (28-30 July),</t>
    </r>
    <r>
      <rPr>
        <sz val="11"/>
        <color theme="1"/>
        <rFont val="Aptos Narrow"/>
        <family val="2"/>
        <scheme val="minor"/>
      </rPr>
      <t xml:space="preserve">  Mali (4-6 August), South Sudan*  (5-6 August),  Chad* (7-9 August), </t>
    </r>
    <r>
      <rPr>
        <sz val="11"/>
        <color rgb="FFFF0000"/>
        <rFont val="Aptos Narrow"/>
        <family val="2"/>
        <scheme val="minor"/>
      </rPr>
      <t xml:space="preserve">São Tomé and Principe* (9-11 August), </t>
    </r>
    <r>
      <rPr>
        <sz val="11"/>
        <color theme="1"/>
        <rFont val="Aptos Narrow"/>
        <family val="2"/>
        <scheme val="minor"/>
      </rPr>
      <t xml:space="preserve">Niger* (6-8 September), Guinea-Bissau* (6 – 10 September), Togo* (8-10 September), Mozambique* (13-14 September), Zambia* (14-15 September), Cameroon* (20-24 September), Sierra Leone* (21-23 September), Burkina Faso* (27-30 September), Mauritania* (11-14 October), </t>
    </r>
    <r>
      <rPr>
        <sz val="11"/>
        <color rgb="FFFF0000"/>
        <rFont val="Aptos Narrow"/>
        <family val="2"/>
        <scheme val="minor"/>
      </rPr>
      <t>Kenya* (18-22 October),</t>
    </r>
    <r>
      <rPr>
        <sz val="11"/>
        <color theme="1"/>
        <rFont val="Aptos Narrow"/>
        <family val="2"/>
        <scheme val="minor"/>
      </rPr>
      <t xml:space="preserve"> Zimbabwe* (18-24 October), </t>
    </r>
    <r>
      <rPr>
        <sz val="11"/>
        <color rgb="FFFF0000"/>
        <rFont val="Aptos Narrow"/>
        <family val="2"/>
        <scheme val="minor"/>
      </rPr>
      <t>Tanzania* (20-21 October),</t>
    </r>
    <r>
      <rPr>
        <sz val="11"/>
        <color theme="1"/>
        <rFont val="Aptos Narrow"/>
        <family val="2"/>
        <scheme val="minor"/>
      </rPr>
      <t xml:space="preserve"> Chad (17-19 November), Guinea* (22-24 November), Namibia* (23-25 November), Central African Republic* (25-26 November), Eswatini* (29 Nov – 4 December 2021), Lesotho*  (1-3 December 2021), Lao PDR* (1-31 December), Rwanda*(20 December)</t>
    </r>
  </si>
  <si>
    <r>
      <t xml:space="preserve">Ethiopia (July 14 – August 25), Mauritius (30 Jun – 06 Aug), Niger (28 September – 9 October), South Africa (27 August), Nigeria (26 August), Liberia (September 11-19), Senegal (September 15-19), Sierra Leone (28 August –23 September), </t>
    </r>
    <r>
      <rPr>
        <sz val="11"/>
        <color rgb="FFFF0000"/>
        <rFont val="Aptos Narrow"/>
        <family val="2"/>
        <scheme val="minor"/>
      </rPr>
      <t>Namibia (28 September),</t>
    </r>
    <r>
      <rPr>
        <sz val="11"/>
        <color theme="1"/>
        <rFont val="Aptos Narrow"/>
        <family val="2"/>
        <scheme val="minor"/>
      </rPr>
      <t xml:space="preserve"> South Sudan (26-27 October) Zimbabwe (September 25 – October 2), Gabon (October 15 – 17), Zambia (September 23 – 25), Malawi (October 27 – 29) , Eswatini (26-30 0ctober), Rwanda (1-13 November), Botswana (9-12 November), Democratic Republic of Congo (8-10 December), Uganda (19 October – 11 December), Mozambique (1-19 Oct), Burkina Faso (30 November – December 4), Tunisia (15-20 November), </t>
    </r>
    <r>
      <rPr>
        <sz val="11"/>
        <color rgb="FFFF0000"/>
        <rFont val="Aptos Narrow"/>
        <family val="2"/>
        <scheme val="minor"/>
      </rPr>
      <t>South Africa (Eastern Cape) (29-30 September)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South Africa (North West) (18 September)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South Africa (KwaZulu-Natal) (1 -3 September),</t>
    </r>
    <r>
      <rPr>
        <sz val="11"/>
        <color theme="1"/>
        <rFont val="Aptos Narrow"/>
        <family val="2"/>
        <scheme val="minor"/>
      </rPr>
      <t xml:space="preserve"> Ethiopia (1 – 30 September), </t>
    </r>
    <r>
      <rPr>
        <sz val="11"/>
        <color rgb="FFFF0000"/>
        <rFont val="Aptos Narrow"/>
        <family val="2"/>
        <scheme val="minor"/>
      </rPr>
      <t>South Africa (Gauteng) (1-2 October), South Africa (Northern Cape) (21-22 October),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South Africa (Free State) (28 Sep-2 October),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South Africa (Limpopo) (26-27 October), Namibia (27 – 28 October</t>
    </r>
    <r>
      <rPr>
        <sz val="11"/>
        <color theme="1"/>
        <rFont val="Aptos Narrow"/>
        <family val="2"/>
        <scheme val="minor"/>
      </rPr>
      <t xml:space="preserve">), </t>
    </r>
    <r>
      <rPr>
        <sz val="11"/>
        <color rgb="FFFF0000"/>
        <rFont val="Aptos Narrow"/>
        <family val="2"/>
        <scheme val="minor"/>
      </rPr>
      <t xml:space="preserve">South Africa (Mpumalanga) (21-24 Aug), </t>
    </r>
  </si>
  <si>
    <r>
      <rPr>
        <sz val="11"/>
        <color rgb="FFFF0000"/>
        <rFont val="Calibri"/>
        <family val="2"/>
      </rPr>
      <t>Democratic Republic of Congo (Goma) - EVD (10-12 March);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Democratic Republic of Congo (Kisangani) – Meningitis (22-25 March)</t>
    </r>
    <r>
      <rPr>
        <sz val="11"/>
        <color theme="1"/>
        <rFont val="Calibri"/>
        <family val="2"/>
      </rPr>
      <t>, Cameroon (30 March – 1 April), South Sudan - Flood (17 June), Namibia - Hepatitis E (12-15 July),</t>
    </r>
    <r>
      <rPr>
        <b/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Tanzania – Leptospirosis (13-16 December), South Africa – COVID-19 (Q4 2022);</t>
    </r>
  </si>
  <si>
    <r>
      <t xml:space="preserve">Benin – Lassa Fever (July 17-20), Burkina Faso - Dengue (April 16-19), Burundi - Malaria (April 9-14), Cape Verde (October 01-05), Chad - Hepatitis E (July 23-27), Liberia – Meningitis (Mar 08 – 09), Madagascar - Plague (July 2-6), Morocco - Brucellosis (January 23-26), </t>
    </r>
    <r>
      <rPr>
        <sz val="11"/>
        <color rgb="FFFF0000"/>
        <rFont val="Aptos Narrow"/>
        <family val="2"/>
        <scheme val="minor"/>
      </rPr>
      <t>Nigeria- Cholera (May 28-31)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Nigeria – Lassa Fever (June 4-7), Nigeria – Monkey Pox (July 2-4),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Nigeria – Cerebrospinal Meningitis (August 13-15),</t>
    </r>
    <r>
      <rPr>
        <sz val="11"/>
        <color theme="1"/>
        <rFont val="Aptos Narrow"/>
        <family val="2"/>
        <scheme val="minor"/>
      </rPr>
      <t xml:space="preserve"> Senegal -Dengue (March 5-9), Uganda - Marburg (March 5-9)</t>
    </r>
  </si>
  <si>
    <r>
      <t xml:space="preserve">Burkina Faso (May 6 &amp; October 26-27), Central African Republic (May 13), Chad (May 13), Côte d’Ivoire (February 3-5 &amp; November 30), Democratic Republic of Congo (May 5), Gambia (February 5), </t>
    </r>
    <r>
      <rPr>
        <sz val="11"/>
        <color rgb="FFFF0000"/>
        <rFont val="Aptos Narrow"/>
        <family val="2"/>
        <scheme val="minor"/>
      </rPr>
      <t>Ghana (September 4-9, September 12-15, October 10-14 – 4 exercises in 4 regions)</t>
    </r>
    <r>
      <rPr>
        <sz val="11"/>
        <color theme="1"/>
        <rFont val="Aptos Narrow"/>
        <family val="2"/>
        <scheme val="minor"/>
      </rPr>
      <t xml:space="preserve">, Guinea (Mar 17-23 &amp; May 23-27), Guinea-Bissau (May), Mali (May 5), Mauritania (December 16-17), Sierra Leone (August &amp; September), Togo (February 10 &amp; September 16), </t>
    </r>
  </si>
  <si>
    <r>
      <t>Cameroon (September 7-15), Mauritania (November 16-17), Regional exercise in Tunisia  (July 11-13), SADC countries in South Africa (November 06-10), U</t>
    </r>
    <r>
      <rPr>
        <sz val="11"/>
        <color rgb="FFFF0000"/>
        <rFont val="Aptos Narrow"/>
        <family val="2"/>
        <scheme val="minor"/>
      </rPr>
      <t>ganda (January 25)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 xml:space="preserve">Uganda (11 May), </t>
    </r>
    <r>
      <rPr>
        <sz val="11"/>
        <color theme="1"/>
        <rFont val="Aptos Narrow"/>
        <family val="2"/>
        <scheme val="minor"/>
      </rPr>
      <t>United Republic of Tanzania (March 30-31),</t>
    </r>
  </si>
  <si>
    <r>
      <t xml:space="preserve">Chad (November 29), </t>
    </r>
    <r>
      <rPr>
        <sz val="11"/>
        <color rgb="FFFF0000"/>
        <rFont val="Aptos Narrow"/>
        <family val="2"/>
        <scheme val="minor"/>
      </rPr>
      <t>Democratic Republic of Congo (EVD SimEx) (June 28),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Democratic Republic of Congo (EVD SimEx) (July 25),</t>
    </r>
    <r>
      <rPr>
        <sz val="11"/>
        <color theme="1"/>
        <rFont val="Aptos Narrow"/>
        <family val="2"/>
        <scheme val="minor"/>
      </rPr>
      <t xml:space="preserve"> East African Community Regional SimEx (RVF) (September 4-5), Liberia (November 28), Nigeria (March 11-17), Rwanda (EVD SimEx) (23 May), Senegal PHEOC SimEx (May 8-9), South Sudan (EVD SimEx) (August 13-15), </t>
    </r>
    <r>
      <rPr>
        <sz val="11"/>
        <color rgb="FFFF0000"/>
        <rFont val="Aptos Narrow"/>
        <family val="2"/>
        <scheme val="minor"/>
      </rPr>
      <t>Tanzania (May 14), Tanzania (EVD SimEx) (August 13-17),</t>
    </r>
    <r>
      <rPr>
        <sz val="11"/>
        <color theme="1"/>
        <rFont val="Aptos Narrow"/>
        <family val="2"/>
        <scheme val="minor"/>
      </rPr>
      <t xml:space="preserve"> Zimbabwe (May 22-23), </t>
    </r>
  </si>
  <si>
    <r>
      <rPr>
        <sz val="11"/>
        <color rgb="FFFF0000"/>
        <rFont val="Aptos Narrow"/>
        <family val="2"/>
        <scheme val="minor"/>
      </rPr>
      <t>Rwanda (January 8-11), Rwanda (EVD preparedness) (July 30 – August 2),</t>
    </r>
    <r>
      <rPr>
        <sz val="11"/>
        <color theme="1"/>
        <rFont val="Aptos Narrow"/>
        <family val="2"/>
        <scheme val="minor"/>
      </rPr>
      <t xml:space="preserve"> Uganda (EVD preparedness) (11-12 April), </t>
    </r>
    <r>
      <rPr>
        <sz val="11"/>
        <color rgb="FFFF0000"/>
        <rFont val="Aptos Narrow"/>
        <family val="2"/>
        <scheme val="minor"/>
      </rPr>
      <t>United Republic of Tanzania &amp; Kenya (EAC Cross border SimEx) (June 11-14)</t>
    </r>
    <r>
      <rPr>
        <sz val="11"/>
        <color theme="1"/>
        <rFont val="Aptos Narrow"/>
        <family val="2"/>
        <scheme val="minor"/>
      </rPr>
      <t xml:space="preserve">, Ghana – RED Alert Field Exercise (July 18), Nigeria—Cholera (March 27-28), </t>
    </r>
    <r>
      <rPr>
        <sz val="11"/>
        <color rgb="FFFF0000"/>
        <rFont val="Aptos Narrow"/>
        <family val="2"/>
        <scheme val="minor"/>
      </rPr>
      <t>United Republic of Tanzania (EVD preparedness) (July 30 – August 6),</t>
    </r>
    <r>
      <rPr>
        <sz val="11"/>
        <color theme="1"/>
        <rFont val="Aptos Narrow"/>
        <family val="2"/>
        <scheme val="minor"/>
      </rPr>
      <t xml:space="preserve"> South Sudan (EVD preparedness) (August 12-15), Cameroon (Multisectoral collaboration for zoonotic diseases) (October 28-29), Malawi (EVD Drill) (1 November), South Sudan Inter-Agency SimEx (November 7), AFRO Regional PHEOC Functional Exercise (December 4-5); </t>
    </r>
  </si>
  <si>
    <r>
      <t xml:space="preserve">Ethiopia COVID19 SimEx (5-6 March), </t>
    </r>
    <r>
      <rPr>
        <sz val="11"/>
        <color rgb="FFFF0000"/>
        <rFont val="Aptos Narrow"/>
        <family val="2"/>
        <scheme val="minor"/>
      </rPr>
      <t>Namibia COVID19 surveillance drills and TTX (25 March -30 June, 2-3 April),</t>
    </r>
    <r>
      <rPr>
        <sz val="11"/>
        <color theme="1"/>
        <rFont val="Aptos Narrow"/>
        <family val="2"/>
        <scheme val="minor"/>
      </rPr>
      <t xml:space="preserve">  </t>
    </r>
    <r>
      <rPr>
        <sz val="11"/>
        <color rgb="FFFF0000"/>
        <rFont val="Aptos Narrow"/>
        <family val="2"/>
        <scheme val="minor"/>
      </rPr>
      <t>Namibia COVID-19 Intensive Care Unit drill (23 May)</t>
    </r>
    <r>
      <rPr>
        <sz val="11"/>
        <color theme="1"/>
        <rFont val="Aptos Narrow"/>
        <family val="2"/>
        <scheme val="minor"/>
      </rPr>
      <t xml:space="preserve">, Kenya – Regional Table-Top Exercise for 19 African countries on COVID-19 response on board an aircraft and international airport TTX (15 February and 20 February), Namibia - COVID-19 Coordination TTXs (single programme of 14 TTXs, 3-18 September 2020), </t>
    </r>
    <r>
      <rPr>
        <sz val="11"/>
        <color rgb="FFFF0000"/>
        <rFont val="Aptos Narrow"/>
        <family val="2"/>
        <scheme val="minor"/>
      </rPr>
      <t>Liberia/ Sierra Leone jo</t>
    </r>
    <r>
      <rPr>
        <sz val="11"/>
        <color theme="1"/>
        <rFont val="Aptos Narrow"/>
        <family val="2"/>
        <scheme val="minor"/>
      </rPr>
      <t xml:space="preserve">int cross border test/simulation exercise at Kenema/ Bo-Waterside (October 19 – 23), Namibia IPC TTX (16 September – 09 October), </t>
    </r>
  </si>
  <si>
    <r>
      <t xml:space="preserve">Mauritius (COVID-19 Vaccine (TTX) (25 January), Sierra Leone (Ebola readiness exercise, TTX &amp; Drill: 22-23 March), Eswatini (COVID-19 TTX (11 March), Liberia (Ebola FSX) (28-30 April), Côte d’Ivoire (EVD FSX) (30 April),  Guinea Bissau (EVD TTX) (9 August) , Mali (EVD, 19-21 December), Cameroon (Airport PoE Drill for the African Nations Cup, 27 December), </t>
    </r>
    <r>
      <rPr>
        <sz val="11"/>
        <color rgb="FFFF0000"/>
        <rFont val="Aptos Narrow"/>
        <family val="2"/>
        <scheme val="minor"/>
      </rPr>
      <t>Central African Republic (UHPR TTX) (8 December)</t>
    </r>
    <r>
      <rPr>
        <sz val="11"/>
        <color theme="1"/>
        <rFont val="Aptos Narrow"/>
        <family val="2"/>
        <scheme val="minor"/>
      </rPr>
      <t>,</t>
    </r>
    <r>
      <rPr>
        <sz val="11"/>
        <color rgb="FFFF0000"/>
        <rFont val="Aptos Narrow"/>
        <family val="2"/>
        <scheme val="minor"/>
      </rPr>
      <t xml:space="preserve"> Central African Republic (UHPR TTX) (11 December), </t>
    </r>
    <r>
      <rPr>
        <sz val="11"/>
        <color theme="1"/>
        <rFont val="Aptos Narrow"/>
        <family val="2"/>
        <scheme val="minor"/>
      </rPr>
      <t>Tanzania (National COVID-19 incident management system)(14-15 December)</t>
    </r>
  </si>
  <si>
    <r>
      <rPr>
        <sz val="11"/>
        <color rgb="FFFF0000"/>
        <rFont val="Aptos Narrow"/>
        <family val="2"/>
        <scheme val="minor"/>
      </rPr>
      <t>Burkina Faso (25-29 April),</t>
    </r>
    <r>
      <rPr>
        <sz val="11"/>
        <color theme="1"/>
        <rFont val="Aptos Narrow"/>
        <family val="2"/>
        <scheme val="minor"/>
      </rPr>
      <t xml:space="preserve"> Tanzania (PoE FSX) (6 May), Senegal – Emergency Medical Teams (EMT) (7-14 May), Senegal (9-13 May), </t>
    </r>
    <r>
      <rPr>
        <sz val="11"/>
        <color rgb="FFFF0000"/>
        <rFont val="Aptos Narrow"/>
        <family val="2"/>
        <scheme val="minor"/>
      </rPr>
      <t>Burkina Faso (12-15 September),</t>
    </r>
    <r>
      <rPr>
        <sz val="11"/>
        <color theme="1"/>
        <rFont val="Aptos Narrow"/>
        <family val="2"/>
        <scheme val="minor"/>
      </rPr>
      <t xml:space="preserve"> Rwanda (EVD Drills) (30 September – 17 October), Cameroon (TTX) (7 - 8 November), Zimbabwe (EVD TTX) (25 November), Lesotho (TTX-To Test Public Health Contingency Plan for Ground Crossing) (28-29 Nov), AFRO virtual regional functional simulation exercise on PHEOC (6-7 December), Namibia (Cholera TTX) (8 December)</t>
    </r>
  </si>
  <si>
    <r>
      <t xml:space="preserve">Equatorial Guinea (PHEOC TTX) (14 January), </t>
    </r>
    <r>
      <rPr>
        <sz val="11"/>
        <color rgb="FFFF0000"/>
        <rFont val="Aptos Narrow"/>
        <family val="2"/>
        <scheme val="minor"/>
      </rPr>
      <t xml:space="preserve">Tanzania (EVD TTX &amp; Drills in Dar es Salaam) (16-18 January), </t>
    </r>
    <r>
      <rPr>
        <sz val="11"/>
        <color theme="1"/>
        <rFont val="Aptos Narrow"/>
        <family val="2"/>
        <scheme val="minor"/>
      </rPr>
      <t xml:space="preserve">Mali (RCCE COVID-19 TTX) (17-19 January), Kenya (EVD TTX) (23-27 January), </t>
    </r>
    <r>
      <rPr>
        <sz val="11"/>
        <color rgb="FFFF0000"/>
        <rFont val="Aptos Narrow"/>
        <family val="2"/>
        <scheme val="minor"/>
      </rPr>
      <t xml:space="preserve">Tanzania, Kagera (EVD Simulation Exercise &amp; Drills) (31 January – 2 February),, </t>
    </r>
    <r>
      <rPr>
        <sz val="11"/>
        <color theme="1"/>
        <rFont val="Aptos Narrow"/>
        <family val="2"/>
        <scheme val="minor"/>
      </rPr>
      <t>Rwanda (Cholera TTX) (22- 23 March), Lesotho (Polio TTX) (28 March), Chad (Measles contingency plan - TTX) (27- 29 March), Zimbabwe (Cholera TTX) (12 April), Namibia (Polio TTX) ( 19-21 April , South Sudan (EVD TTX) (20- 26 May); Uganda TTX Cholera (27 July); Eswatini Cholera FSX( 15-16 Nov)</t>
    </r>
  </si>
  <si>
    <r>
      <t xml:space="preserve">Sierra Leone (Feb 27 –Mar 03), Guinea (May 22 – 26), Senegal (July 17-21), Benin (July 24 – 28), Chad (July 24 – 28), Nigeria (August 14 – 18), </t>
    </r>
    <r>
      <rPr>
        <sz val="11"/>
        <color rgb="FFFF0000"/>
        <rFont val="Calibri"/>
        <family val="2"/>
      </rPr>
      <t>Tanzania (August 14 – 18), Zanzibar (August 21– 25),</t>
    </r>
    <r>
      <rPr>
        <sz val="11"/>
        <color theme="1"/>
        <rFont val="Calibri"/>
        <family val="2"/>
      </rPr>
      <t xml:space="preserve"> Liberia (September 4 – 8), Central African Republic (September 11 -  15), Mali (September 11 – 15), Ethiopia (September 18 – 22), Angola (September 25 – 29), Congo (October 2 – 7),  Zambia (October 2 – 7), Democratic Republic of Congo (October 22 – 27), Uganda (October 22 - 27), Mauritania (November 05 – 10), Burundi (November 19 - 24), Cote d’Ivoire (December 03 – 08)</t>
    </r>
  </si>
  <si>
    <t xml:space="preserve">SIMEX </t>
  </si>
  <si>
    <t>% contribution by AFRO</t>
  </si>
  <si>
    <t>AAR</t>
  </si>
  <si>
    <t xml:space="preserve">IAR </t>
  </si>
  <si>
    <t>IHRMEF</t>
  </si>
  <si>
    <t>NAPHS</t>
  </si>
  <si>
    <t>NBWs</t>
  </si>
  <si>
    <t>Simulation Exercises</t>
  </si>
  <si>
    <t>After-Action Reviews</t>
  </si>
  <si>
    <t>Joint External Evaluations</t>
  </si>
  <si>
    <t>SN</t>
  </si>
  <si>
    <t xml:space="preserve">SPAR </t>
  </si>
  <si>
    <t>Risk Profiling</t>
  </si>
  <si>
    <t xml:space="preserve">Botswana (March 11-15),  Burkina Faso (July 1 – 5),  Togo (August 19 – 23); Gambia (September 09 – 13), South Africa (September 16-20), South Sudan (September 16-20), Eswatini (September 23-27): Kenya (September 8-13); Malawi (November 2-6) </t>
  </si>
  <si>
    <t>Zambia – Anthrax (15 -19 April), Kenya (25 -27 June); Libya- Floods in East Libya (Derna) (29 June), Uganda – Mass Gathering (29-30 August); ; Zimbabwe - Cholera (27 Oct - 01 Nov); Nigeria (Cerebro spinal Meningitis) (14-18 October)</t>
  </si>
  <si>
    <t xml:space="preserve"> Zambia (Cholera) (8 April), Zimbabwe (Cholera) (3-7 June), South Africa (Mpox) (Nov 20-23); Comores (Choléra) (23-27 Sept) South Sudan (Yellow Fever) (4th to 6th June), Tanzania (Cholera) at subnational level 2 regions (May 2024), Mauritius (Dengue) (03 - 05 September), Kenya (Mpox) (9 to 11 December 2024): DRC (Mpox) Continental IAR (16-18 Dec)</t>
  </si>
  <si>
    <t>Ghana (Community Readiness TTX)  Feb 22-24), South Africa (Cholera TTX at the provincial level) (21 May, Uganda (EVD Functional Exercise (26 June), Cross Border VHF TTX (Mali, Mauritania, Guinea, Senegal, Gunea Bissau, Gambia ( 06-09 Aug); Mozambique (Cholera TTX) (18 June); Malawi (Mpox TTX to test PHEOC handbook) (10-11 June);  Ethiopia (Marburg Virus Disease TTX) (20 September); Multi-country Cross-border multisectoral emergencies (Angola, Namibia, Zambia, and Zimbabwe), (11-16 November), United Republic of Tanzania  (MVD/Mpox TTX) (December 2024), Zimbabwe (Cholera TTX at the Provincial level (5 -9 Feb 2024), Kenya (Marburg Virus Disease TTX at JKIA) (2nd October 2024), Eritrea (Cholera, Natural Disaster(Earthquake), Humanitarian crisis), United Republic of Tanzania (Inter-Ministerial TTX on UHPR) (21 Nov): Uganda (SVD) (Nov 2024)</t>
  </si>
  <si>
    <t xml:space="preserve">Early Action Review </t>
  </si>
  <si>
    <t>Uganda (Mpox outbreak) (7 August), South Sudan (Flood Response) (August 2-4), Kenya (Mpox) (August 15)</t>
  </si>
  <si>
    <t>Uganda (Sudan Virus Disease) (21-22 February)</t>
  </si>
  <si>
    <t>Uganda (Community Protection TTX as part of training of Community Health Workers on Sudan Virus Disease preparedness and Response) (4-6 February); - Burundi – Drill at Kobero point of entry (Apr 23–25);- Senegal/Gambia – Cross‑border TTX on mpox preparedness and response (Apr 28–30); Eswatini – Mpox TTX (May 28);- Democratic Republic of Congo (DRC) – Cholera detection TTX (May 28);- Angola – Cholera prevention / control TTX (virtual, Jul 2);- Congo – Cholera prevention/control TTX (virtual, Jul 2);- Namibia – Cholera prevention/control TTX (virtual, Jul 2)
- Guinea – Mpox TTX and FX (Jul 29–Aug 2)</t>
  </si>
  <si>
    <t xml:space="preserve">Ghana (Community Readiness TTX), South Africa (Cholera TTX at the provincial level); Uganda (EVD Functional Exercise, Cross Border VHF TTX (Mali, Mauritania, Guinea, Senegal, Gunea Bissau, Gambia; Mozambique (Cholera TTX) ; Malawi (Mpox TTX to test PHEOC handbook);  Ethiopia (Marburg Virus Disease TTX); Multi-country Cross-border multisectoral emergencies (Angola, Namibia, Zambia, and Zimbabwe), United Republic of Tanzania  (MVD/Mpox TTX) , Zimbabwe (Cholera TTX at the Provincial level, Kenya (Marburg Virus Disease TTX at JKIA) , Eritrea (Cholera, Natural Disaster(Earthquake), Humanitarian crisis), United Republic of Tanzania (Inter-Ministerial TTX on UHPR); Uganda (SVD) </t>
  </si>
  <si>
    <t xml:space="preserve">Uganda (Community Protection TTX as part of training of Community Health Workers on Sudan Virus Disease preparedness and Response); Burundi – Drill at Kobero point of entry; Senegal/Gambia – Cross‑border TTX on mpox preparedness and response; Eswatini – Mpox TTX ; Democratic Republic of Congo (DRC) – Cholera detection TTX ;- Angola – Cholera prevention / control TTX;- Congo – Cholera prevention/control TTX ;- Namibia – Cholera prevention/control TTX
- Guinea – Mpox TTX and FX </t>
  </si>
  <si>
    <r>
      <t xml:space="preserve">Equatorial Guinea (PHEOC TTX), </t>
    </r>
    <r>
      <rPr>
        <sz val="11"/>
        <color rgb="FFFF0000"/>
        <rFont val="Aptos Narrow"/>
        <family val="2"/>
        <scheme val="minor"/>
      </rPr>
      <t xml:space="preserve">Tanzania (EVD TTX &amp; Drills), </t>
    </r>
    <r>
      <rPr>
        <sz val="11"/>
        <color theme="1"/>
        <rFont val="Aptos Narrow"/>
        <family val="2"/>
        <scheme val="minor"/>
      </rPr>
      <t xml:space="preserve">Mali (RCCE COVID-19 TTX), Kenya (EVD TTX), </t>
    </r>
    <r>
      <rPr>
        <sz val="11"/>
        <color rgb="FFFF0000"/>
        <rFont val="Aptos Narrow"/>
        <family val="2"/>
        <scheme val="minor"/>
      </rPr>
      <t xml:space="preserve">Tanzania, Kagera (EVD Simulation Exercise &amp; Drills), </t>
    </r>
    <r>
      <rPr>
        <sz val="11"/>
        <color theme="1"/>
        <rFont val="Aptos Narrow"/>
        <family val="2"/>
        <scheme val="minor"/>
      </rPr>
      <t>Rwanda (Cholera TTX), Lesotho (Polio TTX), Chad (Measles contingency plan - TTX), Zimbabwe (Cholera TTX), Namibia (Polio TTX), South Sudan (EVD TTX); Uganda TTX Cholera; Eswatini Cholera FSX</t>
    </r>
  </si>
  <si>
    <t>Lesotho – Measles Rubella SIA Campaign, Uganda - Sudan Ebola Virus Disease (SUDV); Ghana – MVD, Cabo Verde -COVID-19, Tanzania – MVD, Liberia- COVID-19, Equatorial Guinea-MVD, Mali - COVID-19, Malawi – Cholera, Angola – COVID-19, Kenya – Cholera, Mauritania-COVID-19; Sierra Leone-COVID-19; Senegal.</t>
  </si>
  <si>
    <t>Zambia – Anthrax, Kenya; Libya- Floods in East Libya (Derna), Uganda – Mass Gathering; ; Zimbabwe - Cholera; Nigeria (Cerebro spinal Meningitis)</t>
  </si>
  <si>
    <t xml:space="preserve">Burundi (Mpox): Uganda (Mpox) ; ), Côte d’Ivoire (Mpox) , Sierra Leone- Regional IAR (Mpox); Zambia (Mpox); Zambia (Cholera) </t>
  </si>
  <si>
    <t xml:space="preserve"> Zambia (Cholera) (8 April), Zimbabwe (Cholera) (3-7 June), South Africa (Mpox) (Nov 20-23); Comores (Choléra) (23-27 Sept) South Sudan (Yellow Fever) (4th to 6th June), Tanzania (Cholera) at subnational level 2 regions (May 2024), Mauritius (Dengue) , Kenya (Mpox) (9 to 11 December 2024): DRC (Mpox) Continental IAR</t>
  </si>
  <si>
    <t xml:space="preserve">Uganda (Sudan Virus Disease) (21-22 February); </t>
  </si>
  <si>
    <t>Rwanda – Marburg Virus Disease (28-30 January),  Uganda - Sudan Virius Disease (15-16 May); Togo – Meningitis/Cholera)</t>
  </si>
  <si>
    <t>Rwanda – Marburg Virus Disease,  Uganda - Sudan Virius Disease,Togo – Meningitis/Cholera;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</si>
</sst>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textRotation="45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justify" vertical="center"/>
    </xf>
    <xf numFmtId="0" fontId="7" fillId="0" borderId="1" xfId="0" applyFont="1" applyBorder="1" applyAlignment="1">
      <alignment vertical="center" wrapText="1"/>
    </xf>
    <xf numFmtId="2" fontId="0" fillId="0" borderId="0" xfId="0" applyNumberFormat="1"/>
    <xf numFmtId="2" fontId="5" fillId="0" borderId="0" xfId="0" applyNumberFormat="1" applyFont="1" applyAlignment="1">
      <alignment wrapText="1"/>
    </xf>
    <xf numFmtId="1" fontId="0" fillId="0" borderId="0" xfId="0" applyNumberFormat="1"/>
    <xf numFmtId="0" fontId="2" fillId="0" borderId="0" xfId="0" applyFont="1" applyAlignment="1">
      <alignment vertical="center" wrapText="1"/>
    </xf>
    <xf numFmtId="2" fontId="6" fillId="0" borderId="0" xfId="0" applyNumberFormat="1" applyFont="1"/>
    <xf numFmtId="9" fontId="0" fillId="0" borderId="0" xfId="0" applyNumberFormat="1"/>
    <xf numFmtId="0" fontId="1" fillId="2" borderId="0" xfId="0" applyFont="1" applyFill="1" applyAlignment="1">
      <alignment horizontal="center" vertical="center" textRotation="45" wrapText="1"/>
    </xf>
    <xf numFmtId="0" fontId="1" fillId="3" borderId="0" xfId="0" applyFont="1" applyFill="1" applyAlignment="1">
      <alignment horizontal="center" vertical="center" textRotation="45"/>
    </xf>
    <xf numFmtId="0" fontId="1" fillId="4" borderId="0" xfId="0" applyFont="1" applyFill="1" applyAlignment="1">
      <alignment horizontal="center" vertical="center" textRotation="45"/>
    </xf>
    <xf numFmtId="0" fontId="1" fillId="5" borderId="0" xfId="0" applyFont="1" applyFill="1" applyAlignment="1">
      <alignment horizontal="center" vertical="center" textRotation="45"/>
    </xf>
    <xf numFmtId="0" fontId="1" fillId="6" borderId="0" xfId="0" applyFont="1" applyFill="1" applyAlignment="1">
      <alignment vertical="center" textRotation="45" wrapText="1"/>
    </xf>
    <xf numFmtId="0" fontId="2" fillId="0" borderId="2" xfId="0" applyFont="1" applyBorder="1" applyAlignment="1">
      <alignment vertical="top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1" fillId="0" borderId="0" xfId="0" applyFont="1" applyAlignment="1">
      <alignment textRotation="45"/>
    </xf>
    <xf numFmtId="1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horizontal="center" vertical="center" textRotation="45"/>
    </xf>
    <xf numFmtId="0" fontId="1" fillId="6" borderId="0" xfId="0" applyFont="1" applyFill="1" applyAlignment="1">
      <alignment vertical="center" textRotation="45" wrapText="1"/>
    </xf>
    <xf numFmtId="0" fontId="1" fillId="7" borderId="0" xfId="0" applyFont="1" applyFill="1" applyAlignment="1">
      <alignment horizontal="center" vertical="center" textRotation="45"/>
    </xf>
    <xf numFmtId="0" fontId="1" fillId="2" borderId="0" xfId="0" applyFont="1" applyFill="1" applyAlignment="1">
      <alignment horizontal="center" vertical="center" textRotation="45" wrapText="1"/>
    </xf>
    <xf numFmtId="0" fontId="5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textRotation="45"/>
    </xf>
    <xf numFmtId="0" fontId="5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 textRotation="45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% Contribution</a:t>
            </a:r>
            <a:r>
              <a:rPr lang="en-US" sz="1200" baseline="0"/>
              <a:t> of AFRO to overall IHRMEF; 2016-2023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CHARTS!$D$4</c:f>
              <c:strCache>
                <c:ptCount val="1"/>
                <c:pt idx="0">
                  <c:v>% contribution by AFRO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CHARTS!$C$5:$C$8</c:f>
              <c:strCache>
                <c:ptCount val="4"/>
                <c:pt idx="0">
                  <c:v>SIMEX </c:v>
                </c:pt>
                <c:pt idx="1">
                  <c:v>AAR</c:v>
                </c:pt>
                <c:pt idx="2">
                  <c:v>IAR </c:v>
                </c:pt>
                <c:pt idx="3">
                  <c:v>JEE</c:v>
                </c:pt>
              </c:strCache>
            </c:strRef>
          </c:cat>
          <c:val>
            <c:numRef>
              <c:f>CHARTS!$D$5:$D$8</c:f>
              <c:numCache>
                <c:formatCode>0%</c:formatCode>
                <c:ptCount val="4"/>
                <c:pt idx="0">
                  <c:v>0.33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3-4022-9928-466C27B5D2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72511"/>
        <c:axId val="121188831"/>
      </c:barChart>
      <c:catAx>
        <c:axId val="121172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IHRMEF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1188831"/>
        <c:crosses val="autoZero"/>
        <c:auto val="1"/>
        <c:lblAlgn val="ctr"/>
        <c:lblOffset val="100"/>
        <c:noMultiLvlLbl val="0"/>
      </c:catAx>
      <c:valAx>
        <c:axId val="12118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contribution by AFRO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117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Contribution of AFRO to overall IHRMEF; 2016-2023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CHARTS!$D$4</c:f>
              <c:strCache>
                <c:ptCount val="1"/>
                <c:pt idx="0">
                  <c:v>% contribution by AFRO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CHARTS!$C$5:$C$10</c:f>
              <c:strCache>
                <c:ptCount val="6"/>
                <c:pt idx="0">
                  <c:v>SIMEX </c:v>
                </c:pt>
                <c:pt idx="1">
                  <c:v>AAR</c:v>
                </c:pt>
                <c:pt idx="2">
                  <c:v>IAR </c:v>
                </c:pt>
                <c:pt idx="3">
                  <c:v>JEE</c:v>
                </c:pt>
                <c:pt idx="4">
                  <c:v>NAPHS</c:v>
                </c:pt>
                <c:pt idx="5">
                  <c:v>NBWs</c:v>
                </c:pt>
              </c:strCache>
            </c:strRef>
          </c:cat>
          <c:val>
            <c:numRef>
              <c:f>CHARTS!$D$5:$D$10</c:f>
              <c:numCache>
                <c:formatCode>0%</c:formatCode>
                <c:ptCount val="6"/>
                <c:pt idx="0">
                  <c:v>0.33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0.5</c:v>
                </c:pt>
                <c:pt idx="4">
                  <c:v>0.67</c:v>
                </c:pt>
                <c:pt idx="5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447C-905A-E0396C5D8C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79535"/>
        <c:axId val="129574735"/>
      </c:barChart>
      <c:catAx>
        <c:axId val="12957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IHRMEF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9574735"/>
        <c:crosses val="autoZero"/>
        <c:auto val="1"/>
        <c:lblAlgn val="ctr"/>
        <c:lblOffset val="100"/>
        <c:noMultiLvlLbl val="0"/>
      </c:catAx>
      <c:valAx>
        <c:axId val="1295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contribution by AFRO</a:t>
                </a:r>
                <a:endParaRPr lang="en-GB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957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Contribution of AFRO to overall IHRMEF; 2016-2023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CHARTS!$D$4</c:f>
              <c:strCache>
                <c:ptCount val="1"/>
                <c:pt idx="0">
                  <c:v>% contribution by AFRO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CHARTS!$C$5:$C$10</c:f>
              <c:strCache>
                <c:ptCount val="6"/>
                <c:pt idx="0">
                  <c:v>SIMEX </c:v>
                </c:pt>
                <c:pt idx="1">
                  <c:v>AAR</c:v>
                </c:pt>
                <c:pt idx="2">
                  <c:v>IAR </c:v>
                </c:pt>
                <c:pt idx="3">
                  <c:v>JEE</c:v>
                </c:pt>
                <c:pt idx="4">
                  <c:v>NAPHS</c:v>
                </c:pt>
                <c:pt idx="5">
                  <c:v>NBWs</c:v>
                </c:pt>
              </c:strCache>
            </c:strRef>
          </c:cat>
          <c:val>
            <c:numRef>
              <c:f>CHARTS!$D$5:$D$10</c:f>
              <c:numCache>
                <c:formatCode>0%</c:formatCode>
                <c:ptCount val="6"/>
                <c:pt idx="0">
                  <c:v>0.33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0.5</c:v>
                </c:pt>
                <c:pt idx="4">
                  <c:v>0.67</c:v>
                </c:pt>
                <c:pt idx="5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4-4CB1-B715-A6CCBF9892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0283711"/>
        <c:axId val="1790284191"/>
      </c:barChart>
      <c:catAx>
        <c:axId val="179028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IHRMEF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90284191"/>
        <c:crosses val="autoZero"/>
        <c:auto val="1"/>
        <c:lblAlgn val="ctr"/>
        <c:lblOffset val="100"/>
        <c:noMultiLvlLbl val="0"/>
      </c:catAx>
      <c:valAx>
        <c:axId val="17902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contribution by AFRO</a:t>
                </a:r>
                <a:endParaRPr lang="en-GB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9028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1729740</xdr:colOff>
      <xdr:row>11</xdr:row>
      <xdr:rowOff>11430</xdr:rowOff>
    </xdr:from>
    <xdr:to>
      <xdr:col>6</xdr:col>
      <xdr:colOff>182880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6A771-3428-B22D-D75A-72AD2E870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1844040</xdr:colOff>
      <xdr:row>9</xdr:row>
      <xdr:rowOff>102870</xdr:rowOff>
    </xdr:from>
    <xdr:to>
      <xdr:col>11</xdr:col>
      <xdr:colOff>76200</xdr:colOff>
      <xdr:row>24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AEAA5-7FA3-95EE-7620-00C620833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2828925</xdr:colOff>
      <xdr:row>29</xdr:row>
      <xdr:rowOff>157162</xdr:rowOff>
    </xdr:from>
    <xdr:to>
      <xdr:col>7</xdr:col>
      <xdr:colOff>1123950</xdr:colOff>
      <xdr:row>44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948AB-304A-8C87-35D2-2ED32E615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D478-220F-4167-8789-9F8C93372B0C}">
  <dimension ref="A1:G86"/>
  <sheetViews>
    <sheetView zoomScale="133" workbookViewId="0">
      <pane ySplit="1" topLeftCell="A17" activePane="bottomLeft" state="frozen"/>
      <selection pane="bottomLeft" activeCell="C25" sqref="C25"/>
    </sheetView>
  </sheetViews>
  <sheetFormatPr defaultRowHeight="15" x14ac:dyDescent="0.25"/>
  <cols>
    <col min="1" max="1" width="14.7109375" customWidth="1"/>
    <col min="4" max="4" width="11" customWidth="1"/>
    <col min="5" max="5" width="17.28515625" style="13" customWidth="1"/>
    <col min="6" max="6" width="14" style="13" customWidth="1"/>
    <col min="7" max="7" width="132.28515625" customWidth="1"/>
  </cols>
  <sheetData>
    <row r="1" spans="1:7" s="9" customFormat="1" ht="56.25" x14ac:dyDescent="0.3">
      <c r="B1" s="9" t="s">
        <v>5</v>
      </c>
      <c r="C1" s="9" t="s">
        <v>0</v>
      </c>
      <c r="D1" s="9" t="s">
        <v>10</v>
      </c>
      <c r="E1" s="14" t="s">
        <v>1</v>
      </c>
      <c r="F1" s="14" t="s">
        <v>36</v>
      </c>
      <c r="G1" s="9" t="s">
        <v>2</v>
      </c>
    </row>
    <row r="2" spans="1:7" ht="60" customHeight="1" x14ac:dyDescent="0.25">
      <c r="A2" s="42" t="s">
        <v>4</v>
      </c>
      <c r="B2" s="1">
        <v>2016</v>
      </c>
      <c r="C2">
        <v>12</v>
      </c>
      <c r="D2">
        <v>32</v>
      </c>
      <c r="E2" s="13">
        <f>(C2/D2)*100</f>
        <v>37.5</v>
      </c>
      <c r="F2" s="15">
        <v>12</v>
      </c>
      <c r="G2" s="2" t="s">
        <v>46</v>
      </c>
    </row>
    <row r="3" spans="1:7" ht="43.15" customHeight="1" x14ac:dyDescent="0.25">
      <c r="A3" s="42"/>
      <c r="B3">
        <v>2017</v>
      </c>
      <c r="C3">
        <v>7</v>
      </c>
      <c r="D3">
        <v>31</v>
      </c>
      <c r="E3" s="13">
        <f>(C3/D3)*100</f>
        <v>22.58064516129032</v>
      </c>
      <c r="F3" s="15">
        <v>6</v>
      </c>
      <c r="G3" s="2" t="s">
        <v>47</v>
      </c>
    </row>
    <row r="4" spans="1:7" ht="57" customHeight="1" x14ac:dyDescent="0.25">
      <c r="A4" s="42"/>
      <c r="B4">
        <v>2018</v>
      </c>
      <c r="C4">
        <v>12</v>
      </c>
      <c r="D4">
        <v>32</v>
      </c>
      <c r="E4" s="13">
        <f>(C4/D4)*100</f>
        <v>37.5</v>
      </c>
      <c r="F4" s="15">
        <v>10</v>
      </c>
      <c r="G4" s="4" t="s">
        <v>48</v>
      </c>
    </row>
    <row r="5" spans="1:7" ht="73.150000000000006" customHeight="1" x14ac:dyDescent="0.25">
      <c r="A5" s="42"/>
      <c r="B5">
        <v>2019</v>
      </c>
      <c r="C5">
        <v>12</v>
      </c>
      <c r="D5">
        <v>30</v>
      </c>
      <c r="E5" s="13">
        <f t="shared" ref="E5:E12" si="0">(C5/D5)*100</f>
        <v>40</v>
      </c>
      <c r="F5" s="15">
        <v>10</v>
      </c>
      <c r="G5" s="4" t="s">
        <v>49</v>
      </c>
    </row>
    <row r="6" spans="1:7" ht="60" x14ac:dyDescent="0.25">
      <c r="A6" s="42"/>
      <c r="B6">
        <v>2020</v>
      </c>
      <c r="C6">
        <v>7</v>
      </c>
      <c r="D6">
        <v>25</v>
      </c>
      <c r="E6" s="13">
        <f t="shared" si="0"/>
        <v>28.000000000000004</v>
      </c>
      <c r="F6" s="15">
        <v>7</v>
      </c>
      <c r="G6" s="4" t="s">
        <v>50</v>
      </c>
    </row>
    <row r="7" spans="1:7" ht="60" x14ac:dyDescent="0.25">
      <c r="A7" s="42"/>
      <c r="B7">
        <v>2021</v>
      </c>
      <c r="C7">
        <v>11</v>
      </c>
      <c r="D7">
        <v>32</v>
      </c>
      <c r="E7" s="13">
        <f t="shared" si="0"/>
        <v>34.375</v>
      </c>
      <c r="F7" s="15">
        <v>10</v>
      </c>
      <c r="G7" s="4" t="s">
        <v>51</v>
      </c>
    </row>
    <row r="8" spans="1:7" ht="60" x14ac:dyDescent="0.25">
      <c r="A8" s="42"/>
      <c r="B8">
        <v>2022</v>
      </c>
      <c r="C8">
        <v>11</v>
      </c>
      <c r="D8">
        <v>37</v>
      </c>
      <c r="E8" s="13">
        <f t="shared" si="0"/>
        <v>29.72972972972973</v>
      </c>
      <c r="F8" s="15">
        <v>10</v>
      </c>
      <c r="G8" s="4" t="s">
        <v>52</v>
      </c>
    </row>
    <row r="9" spans="1:7" ht="60" x14ac:dyDescent="0.25">
      <c r="A9" s="42"/>
      <c r="B9">
        <v>2023</v>
      </c>
      <c r="C9">
        <v>11</v>
      </c>
      <c r="D9">
        <v>38</v>
      </c>
      <c r="E9" s="13">
        <f t="shared" si="0"/>
        <v>28.947368421052634</v>
      </c>
      <c r="F9" s="15">
        <v>10</v>
      </c>
      <c r="G9" s="4" t="s">
        <v>53</v>
      </c>
    </row>
    <row r="10" spans="1:7" ht="105" x14ac:dyDescent="0.25">
      <c r="B10">
        <v>2024</v>
      </c>
      <c r="C10">
        <v>14</v>
      </c>
      <c r="D10">
        <v>29</v>
      </c>
      <c r="E10" s="13">
        <f t="shared" si="0"/>
        <v>48.275862068965516</v>
      </c>
      <c r="F10" s="15">
        <v>12</v>
      </c>
      <c r="G10" s="4" t="s">
        <v>71</v>
      </c>
    </row>
    <row r="11" spans="1:7" ht="75" x14ac:dyDescent="0.25">
      <c r="B11">
        <v>2025</v>
      </c>
      <c r="C11">
        <v>1</v>
      </c>
      <c r="D11">
        <v>1</v>
      </c>
      <c r="E11" s="13">
        <f t="shared" si="0"/>
        <v>100</v>
      </c>
      <c r="F11" s="15"/>
      <c r="G11" s="16" t="s">
        <v>75</v>
      </c>
    </row>
    <row r="12" spans="1:7" ht="21" x14ac:dyDescent="0.35">
      <c r="B12" s="10" t="s">
        <v>33</v>
      </c>
      <c r="C12" s="9">
        <f>SUM(C2:C11)</f>
        <v>98</v>
      </c>
      <c r="D12" s="9">
        <f>SUM(D2:D11)</f>
        <v>287</v>
      </c>
      <c r="E12" s="17">
        <f t="shared" si="0"/>
        <v>34.146341463414636</v>
      </c>
    </row>
    <row r="14" spans="1:7" ht="18.75" x14ac:dyDescent="0.3">
      <c r="B14" s="43" t="s">
        <v>3</v>
      </c>
      <c r="C14" s="43"/>
      <c r="D14" s="43"/>
      <c r="E14" s="43"/>
      <c r="F14" s="43"/>
      <c r="G14" s="43"/>
    </row>
    <row r="15" spans="1:7" x14ac:dyDescent="0.25">
      <c r="A15" s="44" t="s">
        <v>14</v>
      </c>
      <c r="B15" s="1">
        <v>2016</v>
      </c>
      <c r="C15">
        <v>0</v>
      </c>
      <c r="D15" s="8">
        <v>7</v>
      </c>
      <c r="E15" s="13">
        <f t="shared" ref="E15:E25" si="1">(C15/D15)*100</f>
        <v>0</v>
      </c>
      <c r="F15" s="15">
        <v>0</v>
      </c>
    </row>
    <row r="16" spans="1:7" ht="70.150000000000006" customHeight="1" x14ac:dyDescent="0.25">
      <c r="A16" s="44"/>
      <c r="B16">
        <v>2017</v>
      </c>
      <c r="C16">
        <v>12</v>
      </c>
      <c r="D16" s="8">
        <v>21</v>
      </c>
      <c r="E16" s="13">
        <f t="shared" si="1"/>
        <v>57.142857142857139</v>
      </c>
      <c r="F16" s="15">
        <v>12</v>
      </c>
      <c r="G16" s="4" t="s">
        <v>6</v>
      </c>
    </row>
    <row r="17" spans="1:7" ht="58.15" customHeight="1" x14ac:dyDescent="0.25">
      <c r="A17" s="44"/>
      <c r="B17">
        <v>2018</v>
      </c>
      <c r="C17">
        <v>14</v>
      </c>
      <c r="D17" s="8">
        <v>19</v>
      </c>
      <c r="E17" s="13">
        <f t="shared" si="1"/>
        <v>73.68421052631578</v>
      </c>
      <c r="F17" s="15">
        <v>11</v>
      </c>
      <c r="G17" s="2" t="s">
        <v>45</v>
      </c>
    </row>
    <row r="18" spans="1:7" ht="53.45" customHeight="1" x14ac:dyDescent="0.25">
      <c r="A18" s="44"/>
      <c r="B18">
        <v>2019</v>
      </c>
      <c r="C18">
        <v>8</v>
      </c>
      <c r="D18" s="8">
        <v>17</v>
      </c>
      <c r="E18" s="13">
        <f t="shared" si="1"/>
        <v>47.058823529411761</v>
      </c>
      <c r="F18" s="15">
        <v>8</v>
      </c>
      <c r="G18" s="2" t="s">
        <v>7</v>
      </c>
    </row>
    <row r="19" spans="1:7" x14ac:dyDescent="0.25">
      <c r="A19" s="44"/>
      <c r="B19">
        <v>2020</v>
      </c>
      <c r="C19">
        <v>1</v>
      </c>
      <c r="D19" s="8">
        <v>3</v>
      </c>
      <c r="E19" s="13">
        <f t="shared" si="1"/>
        <v>33.333333333333329</v>
      </c>
      <c r="F19" s="15">
        <v>1</v>
      </c>
      <c r="G19" s="11" t="s">
        <v>34</v>
      </c>
    </row>
    <row r="20" spans="1:7" ht="15.75" thickBot="1" x14ac:dyDescent="0.3">
      <c r="A20" s="44"/>
      <c r="B20">
        <v>2021</v>
      </c>
      <c r="C20">
        <v>3</v>
      </c>
      <c r="D20" s="8">
        <v>3</v>
      </c>
      <c r="E20" s="13">
        <f t="shared" si="1"/>
        <v>100</v>
      </c>
      <c r="F20" s="15">
        <v>3</v>
      </c>
      <c r="G20" s="4" t="s">
        <v>8</v>
      </c>
    </row>
    <row r="21" spans="1:7" ht="45.75" thickBot="1" x14ac:dyDescent="0.3">
      <c r="A21" s="44"/>
      <c r="B21">
        <v>2022</v>
      </c>
      <c r="C21" s="5">
        <v>7</v>
      </c>
      <c r="D21" s="12">
        <v>10</v>
      </c>
      <c r="E21" s="37">
        <f t="shared" si="1"/>
        <v>70</v>
      </c>
      <c r="F21" s="15">
        <v>7</v>
      </c>
      <c r="G21" s="6" t="s">
        <v>44</v>
      </c>
    </row>
    <row r="22" spans="1:7" ht="75.75" thickBot="1" x14ac:dyDescent="0.3">
      <c r="A22" s="44"/>
      <c r="B22">
        <v>2023</v>
      </c>
      <c r="C22" s="5">
        <v>14</v>
      </c>
      <c r="D22" s="12">
        <v>22</v>
      </c>
      <c r="E22" s="37">
        <f t="shared" si="1"/>
        <v>63.636363636363633</v>
      </c>
      <c r="F22" s="15">
        <v>14</v>
      </c>
      <c r="G22" s="6" t="s">
        <v>9</v>
      </c>
    </row>
    <row r="23" spans="1:7" ht="76.5" customHeight="1" x14ac:dyDescent="0.25">
      <c r="A23" s="44"/>
      <c r="B23">
        <v>2024</v>
      </c>
      <c r="C23" s="35">
        <v>6</v>
      </c>
      <c r="D23" s="36">
        <v>12</v>
      </c>
      <c r="E23" s="37">
        <f t="shared" si="1"/>
        <v>50</v>
      </c>
      <c r="F23" s="15">
        <v>3</v>
      </c>
      <c r="G23" s="16" t="s">
        <v>69</v>
      </c>
    </row>
    <row r="24" spans="1:7" ht="37.5" customHeight="1" x14ac:dyDescent="0.25">
      <c r="A24" s="44"/>
      <c r="B24">
        <v>2025</v>
      </c>
      <c r="C24" s="35">
        <v>3</v>
      </c>
      <c r="D24" s="36">
        <v>7</v>
      </c>
      <c r="E24" s="37">
        <f t="shared" si="1"/>
        <v>42.857142857142854</v>
      </c>
      <c r="F24" s="15">
        <v>1</v>
      </c>
      <c r="G24" s="16" t="s">
        <v>84</v>
      </c>
    </row>
    <row r="25" spans="1:7" ht="21" x14ac:dyDescent="0.35">
      <c r="A25" s="44"/>
      <c r="B25" s="10" t="s">
        <v>32</v>
      </c>
      <c r="C25" s="10">
        <f>SUM(C15:C22)</f>
        <v>59</v>
      </c>
      <c r="D25" s="10">
        <f>SUM(D15:D23)</f>
        <v>114</v>
      </c>
      <c r="E25" s="17">
        <f t="shared" si="1"/>
        <v>51.754385964912288</v>
      </c>
    </row>
    <row r="27" spans="1:7" ht="18.75" x14ac:dyDescent="0.3">
      <c r="B27" s="45" t="s">
        <v>11</v>
      </c>
      <c r="C27" s="45"/>
      <c r="D27" s="45"/>
      <c r="E27" s="45"/>
      <c r="F27" s="45"/>
      <c r="G27" s="45"/>
    </row>
    <row r="28" spans="1:7" x14ac:dyDescent="0.25">
      <c r="A28" s="46" t="s">
        <v>13</v>
      </c>
      <c r="B28" s="1">
        <v>2016</v>
      </c>
      <c r="C28" s="1">
        <v>0</v>
      </c>
      <c r="D28">
        <v>1</v>
      </c>
      <c r="E28" s="13">
        <f t="shared" ref="E28:E41" si="2">(C28/D28)*100</f>
        <v>0</v>
      </c>
      <c r="F28" s="15">
        <v>0</v>
      </c>
    </row>
    <row r="29" spans="1:7" x14ac:dyDescent="0.25">
      <c r="A29" s="46"/>
      <c r="B29">
        <v>2017</v>
      </c>
      <c r="C29">
        <v>0</v>
      </c>
      <c r="D29">
        <v>1</v>
      </c>
      <c r="E29" s="13">
        <f t="shared" si="2"/>
        <v>0</v>
      </c>
      <c r="F29" s="15">
        <v>0</v>
      </c>
    </row>
    <row r="30" spans="1:7" x14ac:dyDescent="0.25">
      <c r="A30" s="46"/>
      <c r="B30">
        <v>2018</v>
      </c>
      <c r="C30">
        <v>0</v>
      </c>
      <c r="D30">
        <v>2</v>
      </c>
      <c r="E30" s="13">
        <f t="shared" si="2"/>
        <v>0</v>
      </c>
      <c r="F30" s="15">
        <v>0</v>
      </c>
    </row>
    <row r="31" spans="1:7" x14ac:dyDescent="0.25">
      <c r="A31" s="46"/>
      <c r="B31">
        <v>2019</v>
      </c>
      <c r="C31">
        <v>0</v>
      </c>
      <c r="D31">
        <v>0</v>
      </c>
      <c r="E31" s="13">
        <v>0</v>
      </c>
      <c r="F31" s="15">
        <v>0</v>
      </c>
    </row>
    <row r="32" spans="1:7" ht="125.45" customHeight="1" x14ac:dyDescent="0.25">
      <c r="A32" s="46"/>
      <c r="B32">
        <v>2020</v>
      </c>
      <c r="C32">
        <v>32</v>
      </c>
      <c r="D32">
        <v>56</v>
      </c>
      <c r="E32" s="13">
        <f t="shared" si="2"/>
        <v>57.142857142857139</v>
      </c>
      <c r="F32" s="15">
        <v>24</v>
      </c>
      <c r="G32" s="4" t="s">
        <v>43</v>
      </c>
    </row>
    <row r="33" spans="1:7" ht="138.6" customHeight="1" x14ac:dyDescent="0.25">
      <c r="A33" s="46"/>
      <c r="B33">
        <v>2021</v>
      </c>
      <c r="C33">
        <v>46</v>
      </c>
      <c r="D33">
        <v>78</v>
      </c>
      <c r="E33" s="13">
        <f t="shared" si="2"/>
        <v>58.974358974358978</v>
      </c>
      <c r="F33" s="15">
        <v>42</v>
      </c>
      <c r="G33" s="4" t="s">
        <v>42</v>
      </c>
    </row>
    <row r="34" spans="1:7" ht="94.15" customHeight="1" x14ac:dyDescent="0.25">
      <c r="A34" s="46"/>
      <c r="B34">
        <v>2022</v>
      </c>
      <c r="C34">
        <v>18</v>
      </c>
      <c r="D34">
        <v>29</v>
      </c>
      <c r="E34" s="13">
        <v>13</v>
      </c>
      <c r="F34" s="15"/>
      <c r="G34" s="4" t="s">
        <v>41</v>
      </c>
    </row>
    <row r="35" spans="1:7" ht="34.9" customHeight="1" x14ac:dyDescent="0.25">
      <c r="A35" s="46"/>
      <c r="B35">
        <v>2023</v>
      </c>
      <c r="C35">
        <v>5</v>
      </c>
      <c r="D35">
        <v>10</v>
      </c>
      <c r="E35" s="13">
        <f t="shared" si="2"/>
        <v>50</v>
      </c>
      <c r="F35" s="13">
        <v>5</v>
      </c>
      <c r="G35" s="4" t="s">
        <v>12</v>
      </c>
    </row>
    <row r="36" spans="1:7" ht="48" customHeight="1" x14ac:dyDescent="0.25">
      <c r="A36" s="46"/>
      <c r="B36">
        <v>2024</v>
      </c>
      <c r="C36">
        <v>10</v>
      </c>
      <c r="D36">
        <v>11</v>
      </c>
      <c r="E36" s="13">
        <f t="shared" si="2"/>
        <v>90.909090909090907</v>
      </c>
      <c r="F36" s="13">
        <v>3</v>
      </c>
      <c r="G36" s="2" t="s">
        <v>70</v>
      </c>
    </row>
    <row r="37" spans="1:7" ht="48" customHeight="1" x14ac:dyDescent="0.25">
      <c r="A37" s="46"/>
      <c r="B37">
        <v>2025</v>
      </c>
      <c r="C37">
        <v>5</v>
      </c>
      <c r="D37">
        <v>8</v>
      </c>
      <c r="E37" s="13">
        <f t="shared" si="2"/>
        <v>62.5</v>
      </c>
      <c r="F37" s="13">
        <v>1</v>
      </c>
      <c r="G37" s="2" t="s">
        <v>81</v>
      </c>
    </row>
    <row r="38" spans="1:7" ht="21" x14ac:dyDescent="0.35">
      <c r="A38" s="46"/>
      <c r="B38" s="10" t="s">
        <v>32</v>
      </c>
      <c r="C38" s="10">
        <f>SUM(C28:C37)</f>
        <v>116</v>
      </c>
      <c r="D38" s="10">
        <f>SUM(D28:D37)</f>
        <v>196</v>
      </c>
      <c r="E38" s="17">
        <f t="shared" si="2"/>
        <v>59.183673469387756</v>
      </c>
    </row>
    <row r="40" spans="1:7" ht="30" customHeight="1" x14ac:dyDescent="0.35">
      <c r="A40" s="48" t="s">
        <v>72</v>
      </c>
      <c r="B40">
        <v>2024</v>
      </c>
      <c r="C40">
        <v>3</v>
      </c>
      <c r="D40">
        <v>3</v>
      </c>
      <c r="E40" s="17">
        <f t="shared" si="2"/>
        <v>100</v>
      </c>
      <c r="G40" t="s">
        <v>73</v>
      </c>
    </row>
    <row r="41" spans="1:7" x14ac:dyDescent="0.25">
      <c r="A41" s="48"/>
      <c r="B41">
        <v>2025</v>
      </c>
      <c r="C41">
        <v>1</v>
      </c>
      <c r="D41">
        <v>2</v>
      </c>
      <c r="E41" s="13">
        <f t="shared" si="2"/>
        <v>50</v>
      </c>
      <c r="G41" t="s">
        <v>74</v>
      </c>
    </row>
    <row r="42" spans="1:7" x14ac:dyDescent="0.25">
      <c r="B42" s="47" t="s">
        <v>15</v>
      </c>
      <c r="C42" s="47"/>
      <c r="D42" s="47"/>
      <c r="E42" s="47"/>
      <c r="F42" s="47"/>
      <c r="G42" s="47"/>
    </row>
    <row r="43" spans="1:7" x14ac:dyDescent="0.25">
      <c r="A43" s="39" t="s">
        <v>15</v>
      </c>
      <c r="B43" s="1">
        <v>2016</v>
      </c>
      <c r="C43">
        <v>1</v>
      </c>
      <c r="D43">
        <v>2</v>
      </c>
      <c r="E43" s="13">
        <f t="shared" ref="E43:E51" si="3">(C43/D43)*100</f>
        <v>50</v>
      </c>
      <c r="F43">
        <v>1</v>
      </c>
      <c r="G43" s="3" t="s">
        <v>16</v>
      </c>
    </row>
    <row r="44" spans="1:7" ht="30" x14ac:dyDescent="0.25">
      <c r="A44" s="39"/>
      <c r="B44">
        <v>2017</v>
      </c>
      <c r="C44">
        <v>8</v>
      </c>
      <c r="D44">
        <v>16</v>
      </c>
      <c r="E44" s="13">
        <f t="shared" si="3"/>
        <v>50</v>
      </c>
      <c r="F44">
        <v>8</v>
      </c>
      <c r="G44" s="4" t="s">
        <v>17</v>
      </c>
    </row>
    <row r="45" spans="1:7" ht="60" x14ac:dyDescent="0.25">
      <c r="A45" s="39"/>
      <c r="B45">
        <v>2018</v>
      </c>
      <c r="C45">
        <v>17</v>
      </c>
      <c r="D45">
        <v>29</v>
      </c>
      <c r="E45" s="13">
        <f t="shared" si="3"/>
        <v>58.620689655172406</v>
      </c>
      <c r="F45">
        <v>17</v>
      </c>
      <c r="G45" s="4" t="s">
        <v>18</v>
      </c>
    </row>
    <row r="46" spans="1:7" ht="30" x14ac:dyDescent="0.25">
      <c r="A46" s="39"/>
      <c r="B46">
        <v>2019</v>
      </c>
      <c r="C46">
        <v>11</v>
      </c>
      <c r="D46">
        <v>20</v>
      </c>
      <c r="E46" s="13">
        <f t="shared" si="3"/>
        <v>55.000000000000007</v>
      </c>
      <c r="F46">
        <v>11</v>
      </c>
      <c r="G46" s="4" t="s">
        <v>19</v>
      </c>
    </row>
    <row r="47" spans="1:7" x14ac:dyDescent="0.25">
      <c r="A47" s="39"/>
      <c r="B47">
        <v>2020</v>
      </c>
      <c r="C47">
        <v>4</v>
      </c>
      <c r="D47">
        <v>4</v>
      </c>
      <c r="E47" s="13">
        <f t="shared" si="3"/>
        <v>100</v>
      </c>
      <c r="F47">
        <v>4</v>
      </c>
      <c r="G47" s="4" t="s">
        <v>20</v>
      </c>
    </row>
    <row r="48" spans="1:7" ht="30" x14ac:dyDescent="0.25">
      <c r="A48" s="39"/>
      <c r="B48">
        <v>2021</v>
      </c>
      <c r="C48">
        <v>10</v>
      </c>
      <c r="D48">
        <v>10</v>
      </c>
      <c r="E48" s="13">
        <f t="shared" si="3"/>
        <v>100</v>
      </c>
      <c r="F48">
        <v>10</v>
      </c>
      <c r="G48" s="4" t="s">
        <v>21</v>
      </c>
    </row>
    <row r="49" spans="1:7" ht="60" x14ac:dyDescent="0.25">
      <c r="A49" s="39"/>
      <c r="B49">
        <v>2022</v>
      </c>
      <c r="C49">
        <v>20</v>
      </c>
      <c r="D49">
        <v>21</v>
      </c>
      <c r="E49" s="13">
        <f t="shared" si="3"/>
        <v>95.238095238095227</v>
      </c>
      <c r="G49" s="4" t="s">
        <v>22</v>
      </c>
    </row>
    <row r="50" spans="1:7" x14ac:dyDescent="0.25">
      <c r="A50" s="39"/>
      <c r="B50">
        <v>2023</v>
      </c>
      <c r="C50">
        <v>5</v>
      </c>
      <c r="D50">
        <v>12</v>
      </c>
      <c r="E50" s="13">
        <f t="shared" si="3"/>
        <v>41.666666666666671</v>
      </c>
      <c r="G50" s="4" t="s">
        <v>23</v>
      </c>
    </row>
    <row r="51" spans="1:7" ht="21" x14ac:dyDescent="0.35">
      <c r="A51" s="39"/>
      <c r="B51" s="10" t="s">
        <v>32</v>
      </c>
      <c r="C51" s="10">
        <f>SUM(C43:C50)</f>
        <v>76</v>
      </c>
      <c r="D51" s="10">
        <f>SUM(D43:D50)</f>
        <v>114</v>
      </c>
      <c r="E51" s="17">
        <f t="shared" si="3"/>
        <v>66.666666666666657</v>
      </c>
    </row>
    <row r="52" spans="1:7" x14ac:dyDescent="0.25">
      <c r="A52" s="7"/>
    </row>
    <row r="54" spans="1:7" x14ac:dyDescent="0.25">
      <c r="A54" s="40" t="s">
        <v>24</v>
      </c>
      <c r="B54" s="1">
        <v>2016</v>
      </c>
      <c r="C54">
        <v>0</v>
      </c>
      <c r="D54">
        <v>1</v>
      </c>
      <c r="E54" s="13">
        <f t="shared" ref="E54:E62" si="4">(C54/D54)*100</f>
        <v>0</v>
      </c>
      <c r="F54" s="15">
        <v>0</v>
      </c>
    </row>
    <row r="55" spans="1:7" x14ac:dyDescent="0.25">
      <c r="A55" s="40"/>
      <c r="B55">
        <v>2017</v>
      </c>
      <c r="C55">
        <v>3</v>
      </c>
      <c r="D55">
        <v>6</v>
      </c>
      <c r="E55" s="13">
        <f t="shared" si="4"/>
        <v>50</v>
      </c>
      <c r="F55" s="15">
        <v>3</v>
      </c>
      <c r="G55" t="s">
        <v>25</v>
      </c>
    </row>
    <row r="56" spans="1:7" ht="30" x14ac:dyDescent="0.25">
      <c r="A56" s="40"/>
      <c r="B56">
        <v>2018</v>
      </c>
      <c r="C56">
        <v>7</v>
      </c>
      <c r="D56">
        <v>11</v>
      </c>
      <c r="E56" s="13">
        <f t="shared" si="4"/>
        <v>63.636363636363633</v>
      </c>
      <c r="F56" s="15">
        <v>7</v>
      </c>
      <c r="G56" s="4" t="s">
        <v>26</v>
      </c>
    </row>
    <row r="57" spans="1:7" x14ac:dyDescent="0.25">
      <c r="A57" s="40"/>
      <c r="B57">
        <v>2019</v>
      </c>
      <c r="C57">
        <v>3</v>
      </c>
      <c r="D57">
        <v>11</v>
      </c>
      <c r="E57" s="13">
        <f t="shared" si="4"/>
        <v>27.27272727272727</v>
      </c>
      <c r="F57" s="15">
        <v>3</v>
      </c>
      <c r="G57" t="s">
        <v>27</v>
      </c>
    </row>
    <row r="58" spans="1:7" x14ac:dyDescent="0.25">
      <c r="A58" s="40"/>
      <c r="B58">
        <v>2020</v>
      </c>
      <c r="C58">
        <v>1</v>
      </c>
      <c r="D58">
        <v>1</v>
      </c>
      <c r="E58" s="13">
        <f t="shared" si="4"/>
        <v>100</v>
      </c>
      <c r="F58" s="15">
        <v>1</v>
      </c>
      <c r="G58" t="s">
        <v>28</v>
      </c>
    </row>
    <row r="59" spans="1:7" x14ac:dyDescent="0.25">
      <c r="A59" s="40"/>
      <c r="B59">
        <v>2021</v>
      </c>
      <c r="C59">
        <v>4</v>
      </c>
      <c r="D59">
        <v>4</v>
      </c>
      <c r="E59" s="13">
        <f t="shared" si="4"/>
        <v>100</v>
      </c>
      <c r="F59" s="15">
        <v>4</v>
      </c>
      <c r="G59" t="s">
        <v>29</v>
      </c>
    </row>
    <row r="60" spans="1:7" x14ac:dyDescent="0.25">
      <c r="A60" s="40"/>
      <c r="B60">
        <v>2022</v>
      </c>
      <c r="C60">
        <v>4</v>
      </c>
      <c r="D60">
        <v>8</v>
      </c>
      <c r="E60" s="13">
        <f t="shared" si="4"/>
        <v>50</v>
      </c>
      <c r="F60" s="15">
        <v>4</v>
      </c>
      <c r="G60" t="s">
        <v>30</v>
      </c>
    </row>
    <row r="61" spans="1:7" x14ac:dyDescent="0.25">
      <c r="A61" s="40"/>
      <c r="B61">
        <v>2023</v>
      </c>
      <c r="C61">
        <v>5</v>
      </c>
      <c r="D61">
        <v>10</v>
      </c>
      <c r="E61" s="13">
        <f t="shared" si="4"/>
        <v>50</v>
      </c>
      <c r="F61" s="15">
        <v>5</v>
      </c>
      <c r="G61" t="s">
        <v>31</v>
      </c>
    </row>
    <row r="62" spans="1:7" ht="27" customHeight="1" x14ac:dyDescent="0.35">
      <c r="A62" s="40"/>
      <c r="B62" s="10" t="s">
        <v>32</v>
      </c>
      <c r="C62" s="10">
        <f>SUM(C54:C61)</f>
        <v>27</v>
      </c>
      <c r="D62" s="10">
        <f>SUM(D54:D61)</f>
        <v>52</v>
      </c>
      <c r="E62" s="17">
        <f t="shared" si="4"/>
        <v>51.923076923076927</v>
      </c>
    </row>
    <row r="63" spans="1:7" x14ac:dyDescent="0.25">
      <c r="A63" s="40"/>
    </row>
    <row r="64" spans="1:7" x14ac:dyDescent="0.25">
      <c r="A64" s="40"/>
    </row>
    <row r="67" spans="1:7" ht="45" x14ac:dyDescent="0.25">
      <c r="A67" s="41" t="s">
        <v>35</v>
      </c>
      <c r="B67" s="1">
        <v>2016</v>
      </c>
      <c r="C67">
        <v>13</v>
      </c>
      <c r="D67">
        <v>28</v>
      </c>
      <c r="E67" s="13">
        <f t="shared" ref="E67:E70" si="5">(C67/D67)*100</f>
        <v>46.428571428571431</v>
      </c>
      <c r="F67" s="15">
        <v>13</v>
      </c>
      <c r="G67" s="4" t="s">
        <v>37</v>
      </c>
    </row>
    <row r="68" spans="1:7" ht="60" x14ac:dyDescent="0.25">
      <c r="A68" s="41"/>
      <c r="B68">
        <v>2017</v>
      </c>
      <c r="C68">
        <v>19</v>
      </c>
      <c r="D68">
        <v>40</v>
      </c>
      <c r="E68" s="13">
        <f t="shared" si="5"/>
        <v>47.5</v>
      </c>
      <c r="F68" s="15">
        <v>19</v>
      </c>
      <c r="G68" s="4" t="s">
        <v>38</v>
      </c>
    </row>
    <row r="69" spans="1:7" ht="45" x14ac:dyDescent="0.25">
      <c r="A69" s="41"/>
      <c r="B69">
        <v>2018</v>
      </c>
      <c r="C69">
        <v>13</v>
      </c>
      <c r="D69">
        <v>24</v>
      </c>
      <c r="E69" s="13">
        <f t="shared" si="5"/>
        <v>54.166666666666664</v>
      </c>
      <c r="F69" s="15">
        <v>13</v>
      </c>
      <c r="G69" s="4" t="s">
        <v>39</v>
      </c>
    </row>
    <row r="70" spans="1:7" ht="30" x14ac:dyDescent="0.25">
      <c r="A70" s="41"/>
      <c r="B70">
        <v>2019</v>
      </c>
      <c r="C70">
        <v>9</v>
      </c>
      <c r="D70">
        <v>21</v>
      </c>
      <c r="E70" s="13">
        <f t="shared" si="5"/>
        <v>42.857142857142854</v>
      </c>
      <c r="F70" s="15">
        <v>9</v>
      </c>
      <c r="G70" s="4" t="s">
        <v>40</v>
      </c>
    </row>
    <row r="71" spans="1:7" x14ac:dyDescent="0.25">
      <c r="A71" s="41"/>
      <c r="B71">
        <v>2020</v>
      </c>
      <c r="C71">
        <v>0</v>
      </c>
      <c r="D71">
        <v>0</v>
      </c>
      <c r="E71" s="13">
        <v>0</v>
      </c>
      <c r="F71" s="15">
        <v>0</v>
      </c>
    </row>
    <row r="72" spans="1:7" x14ac:dyDescent="0.25">
      <c r="A72" s="41"/>
      <c r="B72">
        <v>2021</v>
      </c>
      <c r="C72">
        <v>0</v>
      </c>
      <c r="D72">
        <v>1</v>
      </c>
      <c r="E72" s="13">
        <v>0</v>
      </c>
      <c r="F72" s="15">
        <v>0</v>
      </c>
    </row>
    <row r="73" spans="1:7" x14ac:dyDescent="0.25">
      <c r="A73" s="41"/>
      <c r="B73">
        <v>2022</v>
      </c>
      <c r="C73">
        <v>0</v>
      </c>
      <c r="D73">
        <v>4</v>
      </c>
      <c r="E73" s="13">
        <v>0</v>
      </c>
      <c r="F73" s="15">
        <v>0</v>
      </c>
    </row>
    <row r="74" spans="1:7" ht="60" x14ac:dyDescent="0.25">
      <c r="A74" s="41"/>
      <c r="B74">
        <v>2023</v>
      </c>
      <c r="C74">
        <v>20</v>
      </c>
      <c r="D74">
        <v>31</v>
      </c>
      <c r="E74" s="13">
        <f t="shared" ref="E74:E76" si="6">(C74/D74)*100</f>
        <v>64.516129032258064</v>
      </c>
      <c r="F74" s="15">
        <v>19</v>
      </c>
      <c r="G74" s="16" t="s">
        <v>54</v>
      </c>
    </row>
    <row r="75" spans="1:7" x14ac:dyDescent="0.25">
      <c r="A75" s="41"/>
      <c r="B75">
        <v>2024</v>
      </c>
      <c r="C75">
        <v>8</v>
      </c>
      <c r="D75">
        <v>16</v>
      </c>
      <c r="E75" s="13">
        <f t="shared" si="6"/>
        <v>50</v>
      </c>
      <c r="F75" s="15">
        <v>8</v>
      </c>
      <c r="G75" t="s">
        <v>68</v>
      </c>
    </row>
    <row r="76" spans="1:7" ht="25.9" customHeight="1" x14ac:dyDescent="0.35">
      <c r="B76" s="10" t="s">
        <v>32</v>
      </c>
      <c r="C76" s="10">
        <f>SUM(C67:C75)</f>
        <v>82</v>
      </c>
      <c r="D76" s="10">
        <f>SUM(D67:D75)</f>
        <v>165</v>
      </c>
      <c r="E76" s="17">
        <f t="shared" si="6"/>
        <v>49.696969696969695</v>
      </c>
    </row>
    <row r="79" spans="1:7" x14ac:dyDescent="0.25">
      <c r="A79" t="s">
        <v>67</v>
      </c>
      <c r="B79" s="1">
        <v>2016</v>
      </c>
      <c r="C79">
        <v>21</v>
      </c>
      <c r="D79">
        <v>21</v>
      </c>
      <c r="E79" s="13">
        <f t="shared" ref="E79:E86" si="7">(C79/D79)*100</f>
        <v>100</v>
      </c>
    </row>
    <row r="80" spans="1:7" x14ac:dyDescent="0.25">
      <c r="B80">
        <v>2017</v>
      </c>
      <c r="C80">
        <v>7</v>
      </c>
      <c r="D80">
        <v>7</v>
      </c>
      <c r="E80" s="13">
        <f t="shared" si="7"/>
        <v>100</v>
      </c>
    </row>
    <row r="81" spans="2:5" x14ac:dyDescent="0.25">
      <c r="B81">
        <v>2018</v>
      </c>
      <c r="C81">
        <v>12</v>
      </c>
      <c r="D81">
        <v>18</v>
      </c>
      <c r="E81" s="13">
        <f t="shared" si="7"/>
        <v>66.666666666666657</v>
      </c>
    </row>
    <row r="82" spans="2:5" x14ac:dyDescent="0.25">
      <c r="B82">
        <v>2019</v>
      </c>
      <c r="C82">
        <v>5</v>
      </c>
      <c r="D82">
        <v>19</v>
      </c>
      <c r="E82" s="13">
        <f t="shared" si="7"/>
        <v>26.315789473684209</v>
      </c>
    </row>
    <row r="83" spans="2:5" x14ac:dyDescent="0.25">
      <c r="B83">
        <v>2020</v>
      </c>
      <c r="C83">
        <v>1</v>
      </c>
      <c r="D83">
        <v>3</v>
      </c>
      <c r="E83" s="13">
        <f t="shared" si="7"/>
        <v>33.333333333333329</v>
      </c>
    </row>
    <row r="84" spans="2:5" x14ac:dyDescent="0.25">
      <c r="B84">
        <v>2021</v>
      </c>
      <c r="C84">
        <v>9</v>
      </c>
      <c r="D84">
        <v>17</v>
      </c>
      <c r="E84" s="13">
        <f t="shared" si="7"/>
        <v>52.941176470588239</v>
      </c>
    </row>
    <row r="85" spans="2:5" x14ac:dyDescent="0.25">
      <c r="B85">
        <v>2022</v>
      </c>
      <c r="C85">
        <v>12</v>
      </c>
      <c r="D85">
        <v>21</v>
      </c>
      <c r="E85" s="13">
        <f t="shared" si="7"/>
        <v>57.142857142857139</v>
      </c>
    </row>
    <row r="86" spans="2:5" x14ac:dyDescent="0.25">
      <c r="B86">
        <v>2023</v>
      </c>
      <c r="C86">
        <v>14</v>
      </c>
      <c r="D86">
        <v>42</v>
      </c>
      <c r="E86" s="13">
        <f t="shared" si="7"/>
        <v>33.333333333333329</v>
      </c>
    </row>
  </sheetData>
  <mergeCells count="10">
    <mergeCell ref="B42:G42"/>
    <mergeCell ref="A43:A51"/>
    <mergeCell ref="A54:A64"/>
    <mergeCell ref="A67:A75"/>
    <mergeCell ref="A2:A9"/>
    <mergeCell ref="B14:G14"/>
    <mergeCell ref="A15:A25"/>
    <mergeCell ref="B27:G27"/>
    <mergeCell ref="A28:A38"/>
    <mergeCell ref="A40:A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B155-1387-4BB9-8B10-5F8F2443A603}">
  <dimension ref="A1:F67"/>
  <sheetViews>
    <sheetView tabSelected="1" zoomScale="138" workbookViewId="0">
      <pane ySplit="1" topLeftCell="A9" activePane="bottomLeft" state="frozen"/>
      <selection pane="bottomLeft" activeCell="F15" sqref="F15"/>
    </sheetView>
  </sheetViews>
  <sheetFormatPr defaultRowHeight="15" x14ac:dyDescent="0.25"/>
  <cols>
    <col min="1" max="1" width="14.7109375" customWidth="1"/>
    <col min="4" max="4" width="11" customWidth="1"/>
    <col min="5" max="5" width="17.28515625" style="13" customWidth="1"/>
    <col min="6" max="6" width="113.7109375" customWidth="1"/>
  </cols>
  <sheetData>
    <row r="1" spans="1:6" s="9" customFormat="1" ht="56.25" x14ac:dyDescent="0.3">
      <c r="B1" s="9" t="s">
        <v>5</v>
      </c>
      <c r="C1" s="9" t="s">
        <v>0</v>
      </c>
      <c r="D1" s="9" t="s">
        <v>10</v>
      </c>
      <c r="E1" s="14" t="s">
        <v>1</v>
      </c>
      <c r="F1" s="9" t="s">
        <v>2</v>
      </c>
    </row>
    <row r="2" spans="1:6" ht="90.75" customHeight="1" x14ac:dyDescent="0.25">
      <c r="A2" s="42" t="s">
        <v>4</v>
      </c>
      <c r="B2">
        <v>2023</v>
      </c>
      <c r="C2">
        <v>11</v>
      </c>
      <c r="D2">
        <v>38</v>
      </c>
      <c r="E2" s="13">
        <f t="shared" ref="E2:E5" si="0">(C2/D2)*100</f>
        <v>28.947368421052634</v>
      </c>
      <c r="F2" s="4" t="s">
        <v>78</v>
      </c>
    </row>
    <row r="3" spans="1:6" ht="90" x14ac:dyDescent="0.25">
      <c r="A3" s="42"/>
      <c r="B3">
        <v>2024</v>
      </c>
      <c r="C3">
        <v>14</v>
      </c>
      <c r="D3">
        <v>29</v>
      </c>
      <c r="E3" s="13">
        <f t="shared" si="0"/>
        <v>48.275862068965516</v>
      </c>
      <c r="F3" s="4" t="s">
        <v>76</v>
      </c>
    </row>
    <row r="4" spans="1:6" ht="75" x14ac:dyDescent="0.25">
      <c r="A4" s="42"/>
      <c r="B4">
        <v>2025</v>
      </c>
      <c r="C4">
        <v>9</v>
      </c>
      <c r="D4">
        <v>49</v>
      </c>
      <c r="E4" s="13">
        <f t="shared" si="0"/>
        <v>18.367346938775512</v>
      </c>
      <c r="F4" s="16" t="s">
        <v>77</v>
      </c>
    </row>
    <row r="5" spans="1:6" ht="21" x14ac:dyDescent="0.35">
      <c r="B5" s="10" t="s">
        <v>33</v>
      </c>
      <c r="C5" s="9">
        <f>SUM(C2:C4)</f>
        <v>34</v>
      </c>
      <c r="D5" s="9">
        <f>SUM(D2:D4)</f>
        <v>116</v>
      </c>
      <c r="E5" s="17">
        <f t="shared" si="0"/>
        <v>29.310344827586203</v>
      </c>
    </row>
    <row r="7" spans="1:6" ht="19.5" thickBot="1" x14ac:dyDescent="0.35">
      <c r="B7" s="43" t="s">
        <v>3</v>
      </c>
      <c r="C7" s="43"/>
      <c r="D7" s="43"/>
      <c r="E7" s="43"/>
      <c r="F7" s="43"/>
    </row>
    <row r="8" spans="1:6" ht="45.75" thickBot="1" x14ac:dyDescent="0.3">
      <c r="A8" s="44" t="s">
        <v>14</v>
      </c>
      <c r="B8">
        <v>2023</v>
      </c>
      <c r="C8" s="5">
        <v>14</v>
      </c>
      <c r="D8" s="12">
        <v>22</v>
      </c>
      <c r="E8" s="37">
        <f t="shared" ref="E8:E11" si="1">(C8/D8)*100</f>
        <v>63.636363636363633</v>
      </c>
      <c r="F8" s="6" t="s">
        <v>79</v>
      </c>
    </row>
    <row r="9" spans="1:6" ht="76.5" customHeight="1" x14ac:dyDescent="0.25">
      <c r="A9" s="44"/>
      <c r="B9">
        <v>2024</v>
      </c>
      <c r="C9" s="35">
        <v>6</v>
      </c>
      <c r="D9" s="36">
        <v>12</v>
      </c>
      <c r="E9" s="37">
        <f t="shared" si="1"/>
        <v>50</v>
      </c>
      <c r="F9" s="16" t="s">
        <v>80</v>
      </c>
    </row>
    <row r="10" spans="1:6" ht="15.75" customHeight="1" x14ac:dyDescent="0.25">
      <c r="A10" s="44"/>
      <c r="B10">
        <v>2025</v>
      </c>
      <c r="C10" s="35">
        <v>3</v>
      </c>
      <c r="D10" s="36">
        <v>7</v>
      </c>
      <c r="E10" s="37">
        <f t="shared" si="1"/>
        <v>42.857142857142854</v>
      </c>
      <c r="F10" s="16" t="s">
        <v>85</v>
      </c>
    </row>
    <row r="11" spans="1:6" ht="21" x14ac:dyDescent="0.35">
      <c r="A11" s="20"/>
      <c r="B11" s="10" t="s">
        <v>32</v>
      </c>
      <c r="C11" s="10">
        <f>SUM(C8:C10)</f>
        <v>23</v>
      </c>
      <c r="D11" s="10">
        <f>SUM(D8:D10)</f>
        <v>41</v>
      </c>
      <c r="E11" s="17">
        <f t="shared" si="1"/>
        <v>56.09756097560976</v>
      </c>
    </row>
    <row r="13" spans="1:6" ht="18.75" x14ac:dyDescent="0.3">
      <c r="B13" s="45" t="s">
        <v>11</v>
      </c>
      <c r="C13" s="45"/>
      <c r="D13" s="45"/>
      <c r="E13" s="45"/>
      <c r="F13" s="45"/>
    </row>
    <row r="14" spans="1:6" ht="45" x14ac:dyDescent="0.25">
      <c r="A14" s="49" t="s">
        <v>13</v>
      </c>
      <c r="B14">
        <v>2023</v>
      </c>
      <c r="C14">
        <v>5</v>
      </c>
      <c r="D14">
        <v>10</v>
      </c>
      <c r="E14" s="13">
        <f t="shared" ref="E14:E17" si="2">(C14/D14)*100</f>
        <v>50</v>
      </c>
      <c r="F14" s="4" t="s">
        <v>12</v>
      </c>
    </row>
    <row r="15" spans="1:6" ht="45" x14ac:dyDescent="0.25">
      <c r="A15" s="49"/>
      <c r="B15">
        <v>2024</v>
      </c>
      <c r="C15">
        <v>10</v>
      </c>
      <c r="D15">
        <v>11</v>
      </c>
      <c r="E15" s="13">
        <f t="shared" si="2"/>
        <v>90.909090909090907</v>
      </c>
      <c r="F15" s="2" t="s">
        <v>82</v>
      </c>
    </row>
    <row r="16" spans="1:6" ht="30" x14ac:dyDescent="0.25">
      <c r="A16" s="49"/>
      <c r="B16">
        <v>2025</v>
      </c>
      <c r="C16">
        <v>5</v>
      </c>
      <c r="D16">
        <v>8</v>
      </c>
      <c r="E16" s="13">
        <f t="shared" si="2"/>
        <v>62.5</v>
      </c>
      <c r="F16" s="2" t="s">
        <v>81</v>
      </c>
    </row>
    <row r="17" spans="1:6" ht="21" x14ac:dyDescent="0.35">
      <c r="B17" t="s">
        <v>33</v>
      </c>
      <c r="C17" s="10">
        <f>SUM(C14:C16)</f>
        <v>20</v>
      </c>
      <c r="D17" s="10">
        <f>SUM(D14:D16)</f>
        <v>29</v>
      </c>
      <c r="E17" s="17">
        <f t="shared" si="2"/>
        <v>68.965517241379317</v>
      </c>
    </row>
    <row r="19" spans="1:6" ht="30" customHeight="1" x14ac:dyDescent="0.35">
      <c r="A19" s="48" t="s">
        <v>72</v>
      </c>
      <c r="B19">
        <v>2024</v>
      </c>
      <c r="C19">
        <v>3</v>
      </c>
      <c r="D19">
        <v>3</v>
      </c>
      <c r="E19" s="17">
        <f t="shared" ref="E19:E21" si="3">(C19/D19)*100</f>
        <v>100</v>
      </c>
      <c r="F19" t="s">
        <v>73</v>
      </c>
    </row>
    <row r="20" spans="1:6" x14ac:dyDescent="0.25">
      <c r="A20" s="48"/>
      <c r="B20">
        <v>2025</v>
      </c>
      <c r="C20">
        <v>1</v>
      </c>
      <c r="D20">
        <v>2</v>
      </c>
      <c r="E20" s="13">
        <f t="shared" si="3"/>
        <v>50</v>
      </c>
      <c r="F20" t="s">
        <v>83</v>
      </c>
    </row>
    <row r="21" spans="1:6" ht="21" x14ac:dyDescent="0.35">
      <c r="A21" s="38"/>
      <c r="C21">
        <f>SUM(C19:C20)</f>
        <v>4</v>
      </c>
      <c r="D21">
        <f>SUM(D19:D20)</f>
        <v>5</v>
      </c>
      <c r="E21" s="17">
        <f t="shared" si="3"/>
        <v>80</v>
      </c>
    </row>
    <row r="22" spans="1:6" x14ac:dyDescent="0.25">
      <c r="A22" s="38"/>
    </row>
    <row r="23" spans="1:6" x14ac:dyDescent="0.25">
      <c r="B23" s="47" t="s">
        <v>15</v>
      </c>
      <c r="C23" s="47"/>
      <c r="D23" s="47"/>
      <c r="E23" s="47"/>
      <c r="F23" s="47"/>
    </row>
    <row r="24" spans="1:6" x14ac:dyDescent="0.25">
      <c r="A24" s="39" t="s">
        <v>15</v>
      </c>
      <c r="B24" s="1">
        <v>2016</v>
      </c>
      <c r="C24">
        <v>1</v>
      </c>
      <c r="D24">
        <v>2</v>
      </c>
      <c r="E24" s="13">
        <f t="shared" ref="E24:E32" si="4">(C24/D24)*100</f>
        <v>50</v>
      </c>
      <c r="F24" s="3" t="s">
        <v>16</v>
      </c>
    </row>
    <row r="25" spans="1:6" ht="30" x14ac:dyDescent="0.25">
      <c r="A25" s="39"/>
      <c r="B25">
        <v>2017</v>
      </c>
      <c r="C25">
        <v>8</v>
      </c>
      <c r="D25">
        <v>16</v>
      </c>
      <c r="E25" s="13">
        <f t="shared" si="4"/>
        <v>50</v>
      </c>
      <c r="F25" s="4" t="s">
        <v>17</v>
      </c>
    </row>
    <row r="26" spans="1:6" ht="60" x14ac:dyDescent="0.25">
      <c r="A26" s="39"/>
      <c r="B26">
        <v>2018</v>
      </c>
      <c r="C26">
        <v>17</v>
      </c>
      <c r="D26">
        <v>29</v>
      </c>
      <c r="E26" s="13">
        <f t="shared" si="4"/>
        <v>58.620689655172406</v>
      </c>
      <c r="F26" s="4" t="s">
        <v>18</v>
      </c>
    </row>
    <row r="27" spans="1:6" ht="45" x14ac:dyDescent="0.25">
      <c r="A27" s="39"/>
      <c r="B27">
        <v>2019</v>
      </c>
      <c r="C27">
        <v>11</v>
      </c>
      <c r="D27">
        <v>20</v>
      </c>
      <c r="E27" s="13">
        <f t="shared" si="4"/>
        <v>55.000000000000007</v>
      </c>
      <c r="F27" s="4" t="s">
        <v>19</v>
      </c>
    </row>
    <row r="28" spans="1:6" x14ac:dyDescent="0.25">
      <c r="A28" s="39"/>
      <c r="B28">
        <v>2020</v>
      </c>
      <c r="C28">
        <v>4</v>
      </c>
      <c r="D28">
        <v>4</v>
      </c>
      <c r="E28" s="13">
        <f t="shared" si="4"/>
        <v>100</v>
      </c>
      <c r="F28" s="4" t="s">
        <v>20</v>
      </c>
    </row>
    <row r="29" spans="1:6" ht="30" x14ac:dyDescent="0.25">
      <c r="A29" s="39"/>
      <c r="B29">
        <v>2021</v>
      </c>
      <c r="C29">
        <v>10</v>
      </c>
      <c r="D29">
        <v>10</v>
      </c>
      <c r="E29" s="13">
        <f t="shared" si="4"/>
        <v>100</v>
      </c>
      <c r="F29" s="4" t="s">
        <v>21</v>
      </c>
    </row>
    <row r="30" spans="1:6" ht="75" x14ac:dyDescent="0.25">
      <c r="A30" s="39"/>
      <c r="B30">
        <v>2022</v>
      </c>
      <c r="C30">
        <v>20</v>
      </c>
      <c r="D30">
        <v>21</v>
      </c>
      <c r="E30" s="13">
        <f t="shared" si="4"/>
        <v>95.238095238095227</v>
      </c>
      <c r="F30" s="4" t="s">
        <v>22</v>
      </c>
    </row>
    <row r="31" spans="1:6" ht="30" x14ac:dyDescent="0.25">
      <c r="A31" s="39"/>
      <c r="B31">
        <v>2023</v>
      </c>
      <c r="C31">
        <v>5</v>
      </c>
      <c r="D31">
        <v>12</v>
      </c>
      <c r="E31" s="13">
        <f t="shared" si="4"/>
        <v>41.666666666666671</v>
      </c>
      <c r="F31" s="4" t="s">
        <v>23</v>
      </c>
    </row>
    <row r="32" spans="1:6" ht="21" x14ac:dyDescent="0.35">
      <c r="A32" s="39"/>
      <c r="B32" s="10" t="s">
        <v>32</v>
      </c>
      <c r="C32" s="10">
        <f>SUM(C24:C31)</f>
        <v>76</v>
      </c>
      <c r="D32" s="10">
        <f>SUM(D24:D31)</f>
        <v>114</v>
      </c>
      <c r="E32" s="17">
        <f t="shared" si="4"/>
        <v>66.666666666666657</v>
      </c>
    </row>
    <row r="33" spans="1:6" x14ac:dyDescent="0.25">
      <c r="A33" s="7"/>
    </row>
    <row r="35" spans="1:6" x14ac:dyDescent="0.25">
      <c r="A35" s="40" t="s">
        <v>24</v>
      </c>
      <c r="B35" s="1">
        <v>2016</v>
      </c>
      <c r="C35">
        <v>0</v>
      </c>
      <c r="D35">
        <v>1</v>
      </c>
      <c r="E35" s="13">
        <f t="shared" ref="E35:E43" si="5">(C35/D35)*100</f>
        <v>0</v>
      </c>
    </row>
    <row r="36" spans="1:6" x14ac:dyDescent="0.25">
      <c r="A36" s="40"/>
      <c r="B36">
        <v>2017</v>
      </c>
      <c r="C36">
        <v>3</v>
      </c>
      <c r="D36">
        <v>6</v>
      </c>
      <c r="E36" s="13">
        <f t="shared" si="5"/>
        <v>50</v>
      </c>
      <c r="F36" t="s">
        <v>25</v>
      </c>
    </row>
    <row r="37" spans="1:6" ht="30" x14ac:dyDescent="0.25">
      <c r="A37" s="40"/>
      <c r="B37">
        <v>2018</v>
      </c>
      <c r="C37">
        <v>7</v>
      </c>
      <c r="D37">
        <v>11</v>
      </c>
      <c r="E37" s="13">
        <f t="shared" si="5"/>
        <v>63.636363636363633</v>
      </c>
      <c r="F37" s="4" t="s">
        <v>26</v>
      </c>
    </row>
    <row r="38" spans="1:6" x14ac:dyDescent="0.25">
      <c r="A38" s="40"/>
      <c r="B38">
        <v>2019</v>
      </c>
      <c r="C38">
        <v>3</v>
      </c>
      <c r="D38">
        <v>11</v>
      </c>
      <c r="E38" s="13">
        <f t="shared" si="5"/>
        <v>27.27272727272727</v>
      </c>
      <c r="F38" t="s">
        <v>27</v>
      </c>
    </row>
    <row r="39" spans="1:6" x14ac:dyDescent="0.25">
      <c r="A39" s="40"/>
      <c r="B39">
        <v>2020</v>
      </c>
      <c r="C39">
        <v>1</v>
      </c>
      <c r="D39">
        <v>1</v>
      </c>
      <c r="E39" s="13">
        <f t="shared" si="5"/>
        <v>100</v>
      </c>
      <c r="F39" t="s">
        <v>28</v>
      </c>
    </row>
    <row r="40" spans="1:6" x14ac:dyDescent="0.25">
      <c r="A40" s="40"/>
      <c r="B40">
        <v>2021</v>
      </c>
      <c r="C40">
        <v>4</v>
      </c>
      <c r="D40">
        <v>4</v>
      </c>
      <c r="E40" s="13">
        <f t="shared" si="5"/>
        <v>100</v>
      </c>
      <c r="F40" t="s">
        <v>29</v>
      </c>
    </row>
    <row r="41" spans="1:6" x14ac:dyDescent="0.25">
      <c r="A41" s="40"/>
      <c r="B41">
        <v>2022</v>
      </c>
      <c r="C41">
        <v>4</v>
      </c>
      <c r="D41">
        <v>8</v>
      </c>
      <c r="E41" s="13">
        <f t="shared" si="5"/>
        <v>50</v>
      </c>
      <c r="F41" t="s">
        <v>30</v>
      </c>
    </row>
    <row r="42" spans="1:6" x14ac:dyDescent="0.25">
      <c r="A42" s="40"/>
      <c r="B42">
        <v>2023</v>
      </c>
      <c r="C42">
        <v>5</v>
      </c>
      <c r="D42">
        <v>10</v>
      </c>
      <c r="E42" s="13">
        <f t="shared" si="5"/>
        <v>50</v>
      </c>
      <c r="F42" t="s">
        <v>31</v>
      </c>
    </row>
    <row r="43" spans="1:6" ht="27" customHeight="1" x14ac:dyDescent="0.35">
      <c r="A43" s="40"/>
      <c r="B43" s="10" t="s">
        <v>32</v>
      </c>
      <c r="C43" s="10">
        <f>SUM(C35:C42)</f>
        <v>27</v>
      </c>
      <c r="D43" s="10">
        <f>SUM(D35:D42)</f>
        <v>52</v>
      </c>
      <c r="E43" s="17">
        <f t="shared" si="5"/>
        <v>51.923076923076927</v>
      </c>
    </row>
    <row r="44" spans="1:6" x14ac:dyDescent="0.25">
      <c r="A44" s="40"/>
    </row>
    <row r="45" spans="1:6" x14ac:dyDescent="0.25">
      <c r="A45" s="40"/>
    </row>
    <row r="48" spans="1:6" ht="60" x14ac:dyDescent="0.25">
      <c r="A48" s="41" t="s">
        <v>35</v>
      </c>
      <c r="B48" s="1">
        <v>2016</v>
      </c>
      <c r="C48">
        <v>13</v>
      </c>
      <c r="D48">
        <v>28</v>
      </c>
      <c r="E48" s="13">
        <f t="shared" ref="E48:E51" si="6">(C48/D48)*100</f>
        <v>46.428571428571431</v>
      </c>
      <c r="F48" s="4" t="s">
        <v>37</v>
      </c>
    </row>
    <row r="49" spans="1:6" ht="75" x14ac:dyDescent="0.25">
      <c r="A49" s="41"/>
      <c r="B49">
        <v>2017</v>
      </c>
      <c r="C49">
        <v>19</v>
      </c>
      <c r="D49">
        <v>40</v>
      </c>
      <c r="E49" s="13">
        <f t="shared" si="6"/>
        <v>47.5</v>
      </c>
      <c r="F49" s="4" t="s">
        <v>38</v>
      </c>
    </row>
    <row r="50" spans="1:6" ht="60" x14ac:dyDescent="0.25">
      <c r="A50" s="41"/>
      <c r="B50">
        <v>2018</v>
      </c>
      <c r="C50">
        <v>13</v>
      </c>
      <c r="D50">
        <v>24</v>
      </c>
      <c r="E50" s="13">
        <f t="shared" si="6"/>
        <v>54.166666666666664</v>
      </c>
      <c r="F50" s="4" t="s">
        <v>39</v>
      </c>
    </row>
    <row r="51" spans="1:6" ht="45" x14ac:dyDescent="0.25">
      <c r="A51" s="41"/>
      <c r="B51">
        <v>2019</v>
      </c>
      <c r="C51">
        <v>9</v>
      </c>
      <c r="D51">
        <v>21</v>
      </c>
      <c r="E51" s="13">
        <f t="shared" si="6"/>
        <v>42.857142857142854</v>
      </c>
      <c r="F51" s="4" t="s">
        <v>40</v>
      </c>
    </row>
    <row r="52" spans="1:6" x14ac:dyDescent="0.25">
      <c r="A52" s="41"/>
      <c r="B52">
        <v>2020</v>
      </c>
      <c r="C52">
        <v>0</v>
      </c>
      <c r="D52">
        <v>0</v>
      </c>
      <c r="E52" s="13">
        <v>0</v>
      </c>
    </row>
    <row r="53" spans="1:6" x14ac:dyDescent="0.25">
      <c r="A53" s="41"/>
      <c r="B53">
        <v>2021</v>
      </c>
      <c r="C53">
        <v>0</v>
      </c>
      <c r="D53">
        <v>1</v>
      </c>
      <c r="E53" s="13">
        <v>0</v>
      </c>
    </row>
    <row r="54" spans="1:6" x14ac:dyDescent="0.25">
      <c r="A54" s="41"/>
      <c r="B54">
        <v>2022</v>
      </c>
      <c r="C54">
        <v>0</v>
      </c>
      <c r="D54">
        <v>4</v>
      </c>
      <c r="E54" s="13">
        <v>0</v>
      </c>
    </row>
    <row r="55" spans="1:6" ht="75" x14ac:dyDescent="0.25">
      <c r="A55" s="41"/>
      <c r="B55">
        <v>2023</v>
      </c>
      <c r="C55">
        <v>20</v>
      </c>
      <c r="D55">
        <v>31</v>
      </c>
      <c r="E55" s="13">
        <f t="shared" ref="E55:E57" si="7">(C55/D55)*100</f>
        <v>64.516129032258064</v>
      </c>
      <c r="F55" s="16" t="s">
        <v>54</v>
      </c>
    </row>
    <row r="56" spans="1:6" x14ac:dyDescent="0.25">
      <c r="A56" s="41"/>
      <c r="B56">
        <v>2024</v>
      </c>
      <c r="C56">
        <v>8</v>
      </c>
      <c r="D56">
        <v>16</v>
      </c>
      <c r="E56" s="13">
        <f t="shared" si="7"/>
        <v>50</v>
      </c>
      <c r="F56" t="s">
        <v>68</v>
      </c>
    </row>
    <row r="57" spans="1:6" ht="25.9" customHeight="1" x14ac:dyDescent="0.35">
      <c r="B57" s="10" t="s">
        <v>32</v>
      </c>
      <c r="C57" s="10">
        <f>SUM(C48:C56)</f>
        <v>82</v>
      </c>
      <c r="D57" s="10">
        <f>SUM(D48:D56)</f>
        <v>165</v>
      </c>
      <c r="E57" s="17">
        <f t="shared" si="7"/>
        <v>49.696969696969695</v>
      </c>
    </row>
    <row r="60" spans="1:6" x14ac:dyDescent="0.25">
      <c r="A60" t="s">
        <v>67</v>
      </c>
      <c r="B60" s="1">
        <v>2016</v>
      </c>
      <c r="C60">
        <v>21</v>
      </c>
      <c r="D60">
        <v>21</v>
      </c>
      <c r="E60" s="13">
        <f t="shared" ref="E60:E65" si="8">(C60/D60)*100</f>
        <v>100</v>
      </c>
    </row>
    <row r="61" spans="1:6" x14ac:dyDescent="0.25">
      <c r="B61">
        <v>2017</v>
      </c>
      <c r="C61">
        <v>7</v>
      </c>
      <c r="D61">
        <v>7</v>
      </c>
      <c r="E61" s="13">
        <f t="shared" si="8"/>
        <v>100</v>
      </c>
    </row>
    <row r="62" spans="1:6" x14ac:dyDescent="0.25">
      <c r="B62">
        <v>2018</v>
      </c>
      <c r="C62">
        <v>12</v>
      </c>
      <c r="D62">
        <v>18</v>
      </c>
      <c r="E62" s="13">
        <f t="shared" si="8"/>
        <v>66.666666666666657</v>
      </c>
    </row>
    <row r="63" spans="1:6" x14ac:dyDescent="0.25">
      <c r="B63">
        <v>2019</v>
      </c>
      <c r="C63">
        <v>5</v>
      </c>
      <c r="D63">
        <v>19</v>
      </c>
      <c r="E63" s="13">
        <f t="shared" si="8"/>
        <v>26.315789473684209</v>
      </c>
    </row>
    <row r="64" spans="1:6" x14ac:dyDescent="0.25">
      <c r="B64">
        <v>2020</v>
      </c>
      <c r="C64">
        <v>1</v>
      </c>
      <c r="D64">
        <v>3</v>
      </c>
      <c r="E64" s="13">
        <f t="shared" si="8"/>
        <v>33.333333333333329</v>
      </c>
    </row>
    <row r="65" spans="2:5" x14ac:dyDescent="0.25">
      <c r="B65">
        <v>2021</v>
      </c>
      <c r="C65">
        <v>9</v>
      </c>
      <c r="D65">
        <v>17</v>
      </c>
      <c r="E65" s="13">
        <f t="shared" si="8"/>
        <v>52.941176470588239</v>
      </c>
    </row>
    <row r="66" spans="2:5" x14ac:dyDescent="0.25">
      <c r="B66">
        <v>2022</v>
      </c>
      <c r="C66">
        <v>12</v>
      </c>
      <c r="D66">
        <v>21</v>
      </c>
      <c r="E66" s="13">
        <f t="shared" ref="E66:E67" si="9">(C66/D66)*100</f>
        <v>57.142857142857139</v>
      </c>
    </row>
    <row r="67" spans="2:5" x14ac:dyDescent="0.25">
      <c r="B67">
        <v>2023</v>
      </c>
      <c r="C67">
        <v>14</v>
      </c>
      <c r="D67">
        <v>42</v>
      </c>
      <c r="E67" s="13">
        <f t="shared" si="9"/>
        <v>33.333333333333329</v>
      </c>
    </row>
  </sheetData>
  <mergeCells count="10">
    <mergeCell ref="A2:A4"/>
    <mergeCell ref="A8:A10"/>
    <mergeCell ref="A14:A16"/>
    <mergeCell ref="A24:A32"/>
    <mergeCell ref="A35:A45"/>
    <mergeCell ref="A48:A56"/>
    <mergeCell ref="B7:F7"/>
    <mergeCell ref="B13:F13"/>
    <mergeCell ref="B23:F23"/>
    <mergeCell ref="A19:A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7A75-5EE2-4A66-8955-F234D52CECCA}">
  <dimension ref="A1:H19"/>
  <sheetViews>
    <sheetView zoomScale="107"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1" width="4.42578125" customWidth="1"/>
    <col min="2" max="2" width="17.7109375" customWidth="1"/>
    <col min="3" max="3" width="6.7109375" customWidth="1"/>
    <col min="4" max="4" width="6.85546875" customWidth="1"/>
    <col min="5" max="5" width="8.85546875" customWidth="1"/>
    <col min="6" max="6" width="15.42578125" style="13" customWidth="1"/>
    <col min="7" max="7" width="12.7109375" style="13" customWidth="1"/>
    <col min="8" max="8" width="95.85546875" customWidth="1"/>
  </cols>
  <sheetData>
    <row r="1" spans="1:8" s="9" customFormat="1" ht="56.25" x14ac:dyDescent="0.3">
      <c r="A1" s="9" t="s">
        <v>65</v>
      </c>
      <c r="B1" s="9" t="s">
        <v>59</v>
      </c>
      <c r="C1" s="9" t="s">
        <v>5</v>
      </c>
      <c r="D1" s="9" t="s">
        <v>0</v>
      </c>
      <c r="E1" s="9" t="s">
        <v>10</v>
      </c>
      <c r="F1" s="14" t="s">
        <v>1</v>
      </c>
      <c r="G1" s="14" t="s">
        <v>36</v>
      </c>
      <c r="H1" s="9" t="s">
        <v>2</v>
      </c>
    </row>
    <row r="2" spans="1:8" ht="90" x14ac:dyDescent="0.25">
      <c r="A2">
        <v>1</v>
      </c>
      <c r="B2" s="19" t="s">
        <v>62</v>
      </c>
      <c r="C2" s="1">
        <v>2023</v>
      </c>
      <c r="D2" s="31">
        <v>11</v>
      </c>
      <c r="E2" s="31">
        <v>38</v>
      </c>
      <c r="F2" s="30">
        <f t="shared" ref="F2" si="0">(D2/E2)*100</f>
        <v>28.947368421052634</v>
      </c>
      <c r="G2" s="28">
        <v>10</v>
      </c>
      <c r="H2" s="4" t="s">
        <v>53</v>
      </c>
    </row>
    <row r="3" spans="1:8" s="25" customFormat="1" ht="8.4499999999999993" customHeight="1" thickBot="1" x14ac:dyDescent="0.3">
      <c r="D3" s="34"/>
      <c r="E3" s="34"/>
      <c r="F3" s="29"/>
      <c r="G3" s="29"/>
    </row>
    <row r="4" spans="1:8" ht="93" customHeight="1" thickBot="1" x14ac:dyDescent="0.3">
      <c r="A4">
        <v>2</v>
      </c>
      <c r="B4" s="20" t="s">
        <v>63</v>
      </c>
      <c r="C4" s="1">
        <v>2023</v>
      </c>
      <c r="D4" s="32">
        <v>14</v>
      </c>
      <c r="E4" s="33">
        <v>22</v>
      </c>
      <c r="F4" s="30">
        <f t="shared" ref="F4" si="1">(D4/E4)*100</f>
        <v>63.636363636363633</v>
      </c>
      <c r="G4" s="28">
        <v>14</v>
      </c>
      <c r="H4" s="24" t="s">
        <v>9</v>
      </c>
    </row>
    <row r="5" spans="1:8" s="25" customFormat="1" ht="7.15" customHeight="1" x14ac:dyDescent="0.25">
      <c r="D5" s="34"/>
      <c r="E5" s="34"/>
      <c r="F5" s="29"/>
      <c r="G5" s="29"/>
    </row>
    <row r="6" spans="1:8" ht="71.45" customHeight="1" x14ac:dyDescent="0.25">
      <c r="A6">
        <v>3</v>
      </c>
      <c r="B6" s="21" t="s">
        <v>11</v>
      </c>
      <c r="C6" s="1">
        <v>2023</v>
      </c>
      <c r="D6" s="31">
        <v>5</v>
      </c>
      <c r="E6" s="31">
        <v>10</v>
      </c>
      <c r="F6" s="30">
        <f t="shared" ref="F6" si="2">(D6/E6)*100</f>
        <v>50</v>
      </c>
      <c r="G6" s="30">
        <v>5</v>
      </c>
      <c r="H6" s="4" t="s">
        <v>12</v>
      </c>
    </row>
    <row r="7" spans="1:8" s="25" customFormat="1" ht="8.4499999999999993" customHeight="1" x14ac:dyDescent="0.25">
      <c r="C7" s="26"/>
      <c r="D7" s="34"/>
      <c r="E7" s="34"/>
      <c r="F7" s="29"/>
      <c r="G7" s="29"/>
    </row>
    <row r="8" spans="1:8" ht="101.45" customHeight="1" x14ac:dyDescent="0.25">
      <c r="A8">
        <v>4</v>
      </c>
      <c r="B8" s="27" t="s">
        <v>64</v>
      </c>
      <c r="C8" s="1">
        <v>2023</v>
      </c>
      <c r="D8" s="31">
        <v>20</v>
      </c>
      <c r="E8" s="31">
        <v>31</v>
      </c>
      <c r="F8" s="30">
        <f t="shared" ref="F8" si="3">(D8/E8)*100</f>
        <v>64.516129032258064</v>
      </c>
      <c r="G8" s="28">
        <v>19</v>
      </c>
      <c r="H8" s="16" t="s">
        <v>54</v>
      </c>
    </row>
    <row r="9" spans="1:8" s="25" customFormat="1" ht="22.15" customHeight="1" x14ac:dyDescent="0.25">
      <c r="D9" s="34"/>
      <c r="E9" s="34"/>
      <c r="F9" s="29"/>
      <c r="G9" s="29"/>
    </row>
    <row r="10" spans="1:8" ht="36" x14ac:dyDescent="0.25">
      <c r="B10" s="22" t="s">
        <v>60</v>
      </c>
      <c r="C10">
        <v>2023</v>
      </c>
      <c r="D10" s="31">
        <v>5</v>
      </c>
      <c r="E10" s="31">
        <v>12</v>
      </c>
      <c r="F10" s="30">
        <f t="shared" ref="F10" si="4">(D10/E10)*100</f>
        <v>41.666666666666671</v>
      </c>
      <c r="G10" s="30"/>
      <c r="H10" s="4" t="s">
        <v>23</v>
      </c>
    </row>
    <row r="11" spans="1:8" x14ac:dyDescent="0.25">
      <c r="D11" s="31"/>
      <c r="E11" s="31"/>
      <c r="F11" s="30"/>
      <c r="G11" s="30"/>
    </row>
    <row r="12" spans="1:8" ht="35.450000000000003" customHeight="1" x14ac:dyDescent="0.25">
      <c r="A12">
        <v>6</v>
      </c>
      <c r="B12" s="23" t="s">
        <v>61</v>
      </c>
      <c r="C12">
        <v>2023</v>
      </c>
      <c r="D12" s="31">
        <v>5</v>
      </c>
      <c r="E12" s="31">
        <v>10</v>
      </c>
      <c r="F12" s="30">
        <f t="shared" ref="F12" si="5">(D12/E12)*100</f>
        <v>50</v>
      </c>
      <c r="G12" s="28">
        <v>5</v>
      </c>
      <c r="H12" s="4" t="s">
        <v>31</v>
      </c>
    </row>
    <row r="14" spans="1:8" x14ac:dyDescent="0.25">
      <c r="A14">
        <v>7</v>
      </c>
      <c r="B14" t="s">
        <v>67</v>
      </c>
    </row>
    <row r="19" spans="2:2" x14ac:dyDescent="0.25">
      <c r="B19" t="s">
        <v>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EECA-B7A0-4FB1-98D8-C0637B3E8159}">
  <dimension ref="A1"/>
  <sheetViews>
    <sheetView workbookViewId="0"/>
  </sheetViews>
  <sheetFormatPr defaultRowHeight="15" x14ac:dyDescent="0.25"/>
  <cols>
    <col min="1" max="1" width="44.140625" customWidth="1"/>
    <col min="2" max="2" width="38.8554687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C28D-F053-4FB0-B33A-7948E412F61D}">
  <dimension ref="C4:H10"/>
  <sheetViews>
    <sheetView workbookViewId="0">
      <selection activeCell="E43" sqref="E43"/>
    </sheetView>
  </sheetViews>
  <sheetFormatPr defaultRowHeight="15" x14ac:dyDescent="0.25"/>
  <cols>
    <col min="4" max="4" width="25.85546875" customWidth="1"/>
    <col min="5" max="5" width="54.42578125" customWidth="1"/>
    <col min="7" max="7" width="30.5703125" customWidth="1"/>
    <col min="8" max="8" width="35.28515625" customWidth="1"/>
  </cols>
  <sheetData>
    <row r="4" spans="3:8" ht="18.75" x14ac:dyDescent="0.3">
      <c r="C4" t="s">
        <v>59</v>
      </c>
      <c r="D4" s="9" t="s">
        <v>56</v>
      </c>
      <c r="E4" s="9" t="s">
        <v>0</v>
      </c>
      <c r="F4" s="9"/>
      <c r="G4" s="14"/>
      <c r="H4" s="14"/>
    </row>
    <row r="5" spans="3:8" ht="21" x14ac:dyDescent="0.35">
      <c r="C5" t="s">
        <v>55</v>
      </c>
      <c r="D5" s="18">
        <v>0.33</v>
      </c>
      <c r="E5" s="9"/>
      <c r="F5" s="9"/>
      <c r="G5" s="17"/>
    </row>
    <row r="6" spans="3:8" x14ac:dyDescent="0.25">
      <c r="C6" t="s">
        <v>57</v>
      </c>
      <c r="D6" s="18">
        <v>0.57999999999999996</v>
      </c>
    </row>
    <row r="7" spans="3:8" x14ac:dyDescent="0.25">
      <c r="C7" t="s">
        <v>58</v>
      </c>
      <c r="D7" s="18">
        <v>0.56999999999999995</v>
      </c>
    </row>
    <row r="8" spans="3:8" x14ac:dyDescent="0.25">
      <c r="C8" t="s">
        <v>35</v>
      </c>
      <c r="D8" s="18">
        <v>0.5</v>
      </c>
    </row>
    <row r="9" spans="3:8" x14ac:dyDescent="0.25">
      <c r="C9" t="s">
        <v>60</v>
      </c>
      <c r="D9" s="18">
        <v>0.67</v>
      </c>
    </row>
    <row r="10" spans="3:8" x14ac:dyDescent="0.25">
      <c r="C10" t="s">
        <v>61</v>
      </c>
      <c r="D10" s="18">
        <v>0.52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2016-2023 IHRMEF SUMMARY (3)</vt:lpstr>
      <vt:lpstr>Manuscript</vt:lpstr>
      <vt:lpstr>Practice </vt:lpstr>
      <vt:lpstr>Sheet1</vt:lpstr>
      <vt:lpstr>CHARTS</vt:lpstr>
      <vt:lpstr>'2016-2023 IHRMEF SUMMARY (3)'!_ftn1</vt:lpstr>
      <vt:lpstr>'2016-2023 IHRMEF SUMMARY (3)'!_ftnref1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JINADU, Arisekola Ademola</dc:creator>
  <cp:lastModifiedBy>JINADU, Arisekola Ademola</cp:lastModifiedBy>
  <dcterms:created xsi:type="dcterms:W3CDTF">2024-02-16T08:41:20Z</dcterms:created>
  <dcterms:modified xsi:type="dcterms:W3CDTF">2025-12-01T13:06:40Z</dcterms:modified>
</cp:coreProperties>
</file>