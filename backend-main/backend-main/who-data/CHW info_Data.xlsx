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CHW Country" sheetId="2" r:id="rId5"/>
    <sheet state="visible" name="CHW Meta Data" sheetId="3" r:id="rId6"/>
    <sheet state="visible" name="CHW Region" sheetId="4" r:id="rId7"/>
    <sheet state="visible" name="CHW District" sheetId="5" r:id="rId8"/>
    <sheet state="visible" name="Table 2" sheetId="6" r:id="rId9"/>
    <sheet state="visible" name="Table 3" sheetId="7" r:id="rId10"/>
    <sheet state="visible" name="Table 4" sheetId="8" r:id="rId11"/>
  </sheets>
  <definedNames/>
  <calcPr/>
  <extLst>
    <ext uri="GoogleSheetsCustomDataVersion2">
      <go:sheetsCustomData xmlns:go="http://customooxmlschemas.google.com/" r:id="rId12" roundtripDataChecksum="mcjkxWOl0/2YY0xzJ9Xvj0KUjHlorLLsN6HuHwRMrqk="/>
    </ext>
  </extLst>
</workbook>
</file>

<file path=xl/sharedStrings.xml><?xml version="1.0" encoding="utf-8"?>
<sst xmlns="http://schemas.openxmlformats.org/spreadsheetml/2006/main" count="280" uniqueCount="226">
  <si>
    <r>
      <rPr>
        <rFont val="Arial"/>
        <color rgb="FF000000"/>
        <sz val="11.0"/>
      </rPr>
      <t xml:space="preserve">Community Health Workers status and distribution
</t>
    </r>
    <r>
      <rPr>
        <rFont val="Arial"/>
        <b/>
        <color rgb="FF000000"/>
        <sz val="11.0"/>
      </rPr>
      <t xml:space="preserve">Madagascar
</t>
    </r>
    <r>
      <rPr>
        <rFont val="Arial"/>
        <b/>
        <color rgb="FF000000"/>
        <sz val="11.0"/>
      </rPr>
      <t xml:space="preserve">28 million (2024 estimate population)
</t>
    </r>
    <r>
      <rPr>
        <rFont val="Arial"/>
        <color rgb="FF000000"/>
        <sz val="11.0"/>
      </rPr>
      <t xml:space="preserve">Last CHWs census: 2024 Number of CHWs: 50720
</t>
    </r>
    <r>
      <rPr>
        <rFont val="Arial"/>
        <color rgb="FF000000"/>
        <sz val="11.0"/>
      </rPr>
      <t xml:space="preserve">Average: 14.2 CHWs per 10,000 people (2022).
</t>
    </r>
    <r>
      <rPr>
        <rFont val="Arial"/>
        <color rgb="FF000000"/>
        <sz val="11.0"/>
      </rPr>
      <t>Distribution 24 regions and114 districts</t>
    </r>
  </si>
  <si>
    <r>
      <rPr>
        <rFont val="Arial"/>
        <b/>
        <color theme="1"/>
        <sz val="11.0"/>
      </rPr>
      <t>Provinces</t>
    </r>
  </si>
  <si>
    <r>
      <rPr>
        <rFont val="Arial"/>
        <b/>
        <color theme="1"/>
        <sz val="11.0"/>
      </rPr>
      <t>Regions</t>
    </r>
  </si>
  <si>
    <r>
      <rPr>
        <rFont val="Arial"/>
        <b/>
        <color theme="1"/>
        <sz val="11.0"/>
      </rPr>
      <t>Districts</t>
    </r>
  </si>
  <si>
    <r>
      <rPr>
        <rFont val="Arial"/>
        <b/>
        <color theme="1"/>
        <sz val="11.0"/>
      </rPr>
      <t>Antananarivo</t>
    </r>
  </si>
  <si>
    <r>
      <rPr>
        <rFont val="Arial"/>
        <color rgb="FF000000"/>
        <sz val="11.0"/>
      </rPr>
      <t xml:space="preserve">1.   Analamanga
</t>
    </r>
    <r>
      <rPr>
        <rFont val="Arial"/>
        <color rgb="FF000000"/>
        <sz val="11.0"/>
      </rPr>
      <t xml:space="preserve">2.   Itasy
</t>
    </r>
    <r>
      <rPr>
        <rFont val="Arial"/>
        <color rgb="FF000000"/>
        <sz val="11.0"/>
      </rPr>
      <t xml:space="preserve">3.   Vakinankaratra
</t>
    </r>
    <r>
      <rPr>
        <rFont val="Arial"/>
        <color rgb="FF000000"/>
        <sz val="11.0"/>
      </rPr>
      <t>4.   Bongolava</t>
    </r>
  </si>
  <si>
    <r>
      <rPr>
        <rFont val="Arial"/>
        <b/>
        <color theme="1"/>
        <sz val="11.0"/>
      </rPr>
      <t>Antsiranana</t>
    </r>
  </si>
  <si>
    <r>
      <rPr>
        <rFont val="Arial"/>
        <color rgb="FF000000"/>
        <sz val="11.0"/>
      </rPr>
      <t xml:space="preserve">5.   Diana
</t>
    </r>
    <r>
      <rPr>
        <rFont val="Arial"/>
        <color rgb="FF000000"/>
        <sz val="11.0"/>
      </rPr>
      <t>6.   Sava</t>
    </r>
  </si>
  <si>
    <r>
      <rPr>
        <rFont val="Arial"/>
        <b/>
        <color theme="1"/>
        <sz val="11.0"/>
      </rPr>
      <t>Fianarantsoa</t>
    </r>
  </si>
  <si>
    <r>
      <rPr>
        <rFont val="Arial"/>
        <color rgb="FF000000"/>
        <sz val="11.0"/>
      </rPr>
      <t xml:space="preserve">7.   Haute Matsiatra
</t>
    </r>
    <r>
      <rPr>
        <rFont val="Arial"/>
        <color rgb="FF000000"/>
        <sz val="11.0"/>
      </rPr>
      <t xml:space="preserve">8.   Amoron'i Mania
</t>
    </r>
    <r>
      <rPr>
        <rFont val="Arial"/>
        <color rgb="FF000000"/>
        <sz val="11.0"/>
      </rPr>
      <t xml:space="preserve">9.   Vatovavy
</t>
    </r>
    <r>
      <rPr>
        <rFont val="Arial"/>
        <color rgb="FF000000"/>
        <sz val="11.0"/>
      </rPr>
      <t xml:space="preserve">10. Fitovinany
</t>
    </r>
    <r>
      <rPr>
        <rFont val="Arial"/>
        <color rgb="FF000000"/>
        <sz val="11.0"/>
      </rPr>
      <t xml:space="preserve">11. Atsimo-Atsinanana
</t>
    </r>
    <r>
      <rPr>
        <rFont val="Arial"/>
        <color rgb="FF000000"/>
        <sz val="11.0"/>
      </rPr>
      <t>12. Ihorombe</t>
    </r>
  </si>
  <si>
    <r>
      <rPr>
        <rFont val="Arial"/>
        <b/>
        <color theme="1"/>
        <sz val="11.0"/>
      </rPr>
      <t>Mahajanga</t>
    </r>
  </si>
  <si>
    <r>
      <rPr>
        <rFont val="Arial"/>
        <color rgb="FF000000"/>
        <sz val="11.0"/>
      </rPr>
      <t xml:space="preserve">13. Boeny
</t>
    </r>
    <r>
      <rPr>
        <rFont val="Arial"/>
        <color rgb="FF000000"/>
        <sz val="11.0"/>
      </rPr>
      <t xml:space="preserve">14. Sofia
</t>
    </r>
    <r>
      <rPr>
        <rFont val="Arial"/>
        <color rgb="FF000000"/>
        <sz val="11.0"/>
      </rPr>
      <t xml:space="preserve">15. Betsiboka
</t>
    </r>
    <r>
      <rPr>
        <rFont val="Arial"/>
        <color rgb="FF000000"/>
        <sz val="11.0"/>
      </rPr>
      <t>16. Melaky</t>
    </r>
  </si>
  <si>
    <r>
      <rPr>
        <rFont val="Arial"/>
        <b/>
        <color theme="1"/>
        <sz val="11.0"/>
      </rPr>
      <t>Province de Toamasina</t>
    </r>
  </si>
  <si>
    <r>
      <rPr>
        <rFont val="Arial"/>
        <color rgb="FF000000"/>
        <sz val="11.0"/>
      </rPr>
      <t xml:space="preserve">17. Alaotra Mangoro
</t>
    </r>
    <r>
      <rPr>
        <rFont val="Arial"/>
        <color rgb="FF000000"/>
        <sz val="11.0"/>
      </rPr>
      <t xml:space="preserve">18. Analanjirofo
</t>
    </r>
    <r>
      <rPr>
        <rFont val="Arial"/>
        <color rgb="FF000000"/>
        <sz val="11.0"/>
      </rPr>
      <t>19. Atsinanana</t>
    </r>
  </si>
  <si>
    <r>
      <rPr>
        <rFont val="Arial"/>
        <b/>
        <color theme="1"/>
        <sz val="11.0"/>
      </rPr>
      <t>Toliara</t>
    </r>
  </si>
  <si>
    <r>
      <rPr>
        <rFont val="Arial"/>
        <color rgb="FF000000"/>
        <sz val="11.0"/>
      </rPr>
      <t xml:space="preserve">20. Menabe
</t>
    </r>
    <r>
      <rPr>
        <rFont val="Arial"/>
        <color rgb="FF000000"/>
        <sz val="11.0"/>
      </rPr>
      <t xml:space="preserve">21. Atsimo-Andrefana
</t>
    </r>
    <r>
      <rPr>
        <rFont val="Arial"/>
        <color rgb="FF000000"/>
        <sz val="11.0"/>
      </rPr>
      <t xml:space="preserve">22. Androy
</t>
    </r>
    <r>
      <rPr>
        <rFont val="Arial"/>
        <color rgb="FF000000"/>
        <sz val="11.0"/>
      </rPr>
      <t>23. Anosy</t>
    </r>
  </si>
  <si>
    <r>
      <rPr>
        <rFont val="Arial"/>
        <b/>
        <color theme="1"/>
        <sz val="11.0"/>
      </rPr>
      <t>Ambatosoa (new province)</t>
    </r>
  </si>
  <si>
    <r>
      <rPr>
        <rFont val="Arial"/>
        <color rgb="FF000000"/>
        <sz val="11.0"/>
      </rPr>
      <t xml:space="preserve">24. Maroantsetra
</t>
    </r>
    <r>
      <rPr>
        <rFont val="Arial"/>
        <b/>
        <color rgb="FF000000"/>
        <sz val="11.0"/>
      </rPr>
      <t xml:space="preserve">25. </t>
    </r>
    <r>
      <rPr>
        <rFont val="Arial"/>
        <color rgb="FF000000"/>
        <sz val="11.0"/>
      </rPr>
      <t>Mananara Avaratra (not confirmed data)</t>
    </r>
  </si>
  <si>
    <r>
      <rPr>
        <rFont val="Arial"/>
        <b/>
        <color theme="1"/>
        <sz val="11.0"/>
      </rPr>
      <t>No data available (maybe 4 because the total of the above is 118)</t>
    </r>
  </si>
  <si>
    <r>
      <rPr>
        <rFont val="Arial"/>
        <b/>
        <color rgb="FF000000"/>
        <sz val="11.0"/>
      </rPr>
      <t xml:space="preserve">Tanzania
</t>
    </r>
    <r>
      <rPr>
        <rFont val="Arial"/>
        <color rgb="FF000000"/>
        <sz val="11.0"/>
      </rPr>
      <t xml:space="preserve">Population: Population (2022): 59,851,347
</t>
    </r>
    <r>
      <rPr>
        <rFont val="Arial"/>
        <color rgb="FF000000"/>
        <sz val="11.0"/>
      </rPr>
      <t xml:space="preserve">Population of Zanzibar (2022 census): </t>
    </r>
    <r>
      <rPr>
        <rFont val="Arial"/>
        <b/>
        <color rgb="FF000000"/>
        <sz val="11.0"/>
      </rPr>
      <t xml:space="preserve">1,889,773 </t>
    </r>
    <r>
      <rPr>
        <rFont val="Arial"/>
        <color rgb="FF000000"/>
        <sz val="11.0"/>
      </rPr>
      <t xml:space="preserve">persons
</t>
    </r>
    <r>
      <rPr>
        <rFont val="Arial"/>
        <color rgb="FF000000"/>
        <sz val="11.0"/>
      </rPr>
      <t>In 2025 the Government reported 50,620 CHWs across 26 regions in mainland Tanzania, with Kagame region having the most (6,498) and Katavi having the fewest (684).</t>
    </r>
  </si>
  <si>
    <r>
      <rPr>
        <rFont val="Arial"/>
        <color rgb="FF000000"/>
        <sz val="11.0"/>
      </rPr>
      <t xml:space="preserve">About </t>
    </r>
    <r>
      <rPr>
        <rFont val="Arial"/>
        <b/>
        <color rgb="FF000000"/>
        <sz val="11.0"/>
      </rPr>
      <t xml:space="preserve">3,4 CHWs per 10,000 persons </t>
    </r>
    <r>
      <rPr>
        <rFont val="Arial"/>
        <color rgb="FF000000"/>
        <sz val="11.0"/>
      </rPr>
      <t xml:space="preserve">in Mainland
</t>
    </r>
    <r>
      <rPr>
        <rFont val="Arial"/>
        <b/>
        <color rgb="FF000000"/>
        <sz val="11.0"/>
      </rPr>
      <t xml:space="preserve">Zanzibar: 2,300 Community Health Volunteers (CHVs) </t>
    </r>
    <r>
      <rPr>
        <rFont val="Arial"/>
        <color rgb="FF000000"/>
        <sz val="11.0"/>
      </rPr>
      <t xml:space="preserve">documented for 2021-22. About 6.6CHWs per 10,000 persons in Zanzibar
</t>
    </r>
    <r>
      <rPr>
        <rFont val="Arial"/>
        <b/>
        <color rgb="FF000000"/>
        <sz val="11.0"/>
      </rPr>
      <t>Mainland Tanzania (26 regions)</t>
    </r>
  </si>
  <si>
    <t>CountryID</t>
  </si>
  <si>
    <t>Country</t>
  </si>
  <si>
    <t>Population_2024</t>
  </si>
  <si>
    <t>Total_CHWs</t>
  </si>
  <si>
    <t>CHWs_per_10000</t>
  </si>
  <si>
    <t>Total_Regions</t>
  </si>
  <si>
    <t>Total_Districts</t>
  </si>
  <si>
    <t>Data_Year</t>
  </si>
  <si>
    <t>Last_Updated</t>
  </si>
  <si>
    <t>Madagascar</t>
  </si>
  <si>
    <t>Tanzania</t>
  </si>
  <si>
    <t>Ghana</t>
  </si>
  <si>
    <t>Kenya</t>
  </si>
  <si>
    <t>Senegal</t>
  </si>
  <si>
    <t>DATA STRUCTURE DOCUMENTATION FOR POWER BI</t>
  </si>
  <si>
    <t>SHEETS IN THIS WORKBOOK:</t>
  </si>
  <si>
    <t>Sheet1: Countries_Summary</t>
  </si>
  <si>
    <t>Sheet2: Regions_Details</t>
  </si>
  <si>
    <t>Sheet3: Districts_Details</t>
  </si>
  <si>
    <t>Sheet4: Documentation (this sheet)</t>
  </si>
  <si>
    <t>SHEET1: COUNTRIES_SUMMARY</t>
  </si>
  <si>
    <t>Purpose: Country-level aggregate data for KPI cards and high-level analysis</t>
  </si>
  <si>
    <t>Columns:</t>
  </si>
  <si>
    <t>- CountryID (PK): Unique identifier for each country (1-5)</t>
  </si>
  <si>
    <t>- Country: Country name (Madagascar, Tanzania, Ghana, Kenya, Senegal)</t>
  </si>
  <si>
    <t>- Population_2024: Total population estimate for 2024</t>
  </si>
  <si>
    <t>- Total_CHWs: Total Community Health Workers count</t>
  </si>
  <si>
    <t>- CHWs_per_10000: Density of CHWs per 10,000 population</t>
  </si>
  <si>
    <t>- Total_Regions: Number of regions in country</t>
  </si>
  <si>
    <t>- Total_Districts: Number of districts in country</t>
  </si>
  <si>
    <t>- Data_Year: Year of data collection</t>
  </si>
  <si>
    <t>- Last_Updated: Date of last update (YYYY-MM-DD format)</t>
  </si>
  <si>
    <t>Use for Power BI:</t>
  </si>
  <si>
    <t>- KPI Cards (Total CHWs, Total Countries, etc.)</t>
  </si>
  <si>
    <t>- Country comparison bar charts</t>
  </si>
  <si>
    <t>- Summary metrics</t>
  </si>
  <si>
    <t>SHEET2: REGIONS_DETAILS</t>
  </si>
  <si>
    <t>Purpose: Regional breakdown for geographic analysis</t>
  </si>
  <si>
    <t>- RegionID (PK): Unique identifier for each region (101-402)</t>
  </si>
  <si>
    <t>- CountryID (FK): Foreign key to Countries_Summary</t>
  </si>
  <si>
    <t>- Country: Country name (denormalized for easy filtering)</t>
  </si>
  <si>
    <t>- Region_Name: Name of region/state</t>
  </si>
  <si>
    <t>- District_Count: Number of districts in region</t>
  </si>
  <si>
    <t>- Region_Number: Sequential number within country</t>
  </si>
  <si>
    <t>- Province: Province/larger administrative unit</t>
  </si>
  <si>
    <t>- Map visualizations by region</t>
  </si>
  <si>
    <t>- Drill-down from country to region</t>
  </si>
  <si>
    <t>- Regional comparisons</t>
  </si>
  <si>
    <t>- Filter/Slicer for region selection</t>
  </si>
  <si>
    <t>SHEET3: DISTRICTS_DETAILS</t>
  </si>
  <si>
    <t>Purpose: Most granular level - district/local data</t>
  </si>
  <si>
    <t>- DistrictID (PK): Unique identifier (1001-1012)</t>
  </si>
  <si>
    <t>- RegionID (FK): Foreign key to Regions_Details</t>
  </si>
  <si>
    <t>- Country: Country name (denormalized)</t>
  </si>
  <si>
    <t>- Region: Region name (denormalized)</t>
  </si>
  <si>
    <t>- District_Name: Name of district</t>
  </si>
  <si>
    <t>- CHW_Count: Number of CHWs in district</t>
  </si>
  <si>
    <t>- Population_Est: Estimated population</t>
  </si>
  <si>
    <t>- CHWs_per_10K: CHWs per 10,000 population (calculated field)</t>
  </si>
  <si>
    <t>- Detail tables and matrices</t>
  </si>
  <si>
    <t>- Drill-down analysis</t>
  </si>
  <si>
    <t>- District-level comparisons</t>
  </si>
  <si>
    <t>- Source for detailed tooltips</t>
  </si>
  <si>
    <t>POWER BI RELATIONSHIPS:</t>
  </si>
  <si>
    <t>Create these relationships in Power BI:</t>
  </si>
  <si>
    <t>1. Districts (DistrictID) → Regions (RegionID) on RegionID column</t>
  </si>
  <si>
    <t>2. Regions (CountryID) → Countries (CountryID) on CountryID column</t>
  </si>
  <si>
    <t>3. Districts (CountryID) → Countries (CountryID) on CountryID column</t>
  </si>
  <si>
    <t>This creates a star schema with Countries as the fact table</t>
  </si>
  <si>
    <t>DATA QUALITY NOTES:</t>
  </si>
  <si>
    <t>✓ All IDs are unique and non-null</t>
  </si>
  <si>
    <t>✓ Foreign keys link correctly</t>
  </si>
  <si>
    <t>✓ No duplicate records</t>
  </si>
  <si>
    <t>✓ All numeric fields are properly formatted</t>
  </si>
  <si>
    <t>✓ Dates in YYYY-MM-DD format</t>
  </si>
  <si>
    <t>✓ Text fields are clean (no leading/trailing spaces)</t>
  </si>
  <si>
    <t>SUGGESTED POWER BI MEASURES:</t>
  </si>
  <si>
    <t>RegionID</t>
  </si>
  <si>
    <t>Region_Name</t>
  </si>
  <si>
    <t>District_Count</t>
  </si>
  <si>
    <t>Region_Number</t>
  </si>
  <si>
    <t>Province</t>
  </si>
  <si>
    <t>Analamanga</t>
  </si>
  <si>
    <t>Antananarivo</t>
  </si>
  <si>
    <t>Itasy</t>
  </si>
  <si>
    <t>Vakinankaratra</t>
  </si>
  <si>
    <t>Bongolava</t>
  </si>
  <si>
    <t>Diana</t>
  </si>
  <si>
    <t>Antsiranana</t>
  </si>
  <si>
    <t>Arusha</t>
  </si>
  <si>
    <t>Northern Region</t>
  </si>
  <si>
    <t>Dar Es Salaam</t>
  </si>
  <si>
    <t>Coastal Region</t>
  </si>
  <si>
    <t>Dodoma</t>
  </si>
  <si>
    <t>Central Region</t>
  </si>
  <si>
    <t>Ahafo</t>
  </si>
  <si>
    <t>Eastern Region</t>
  </si>
  <si>
    <t>Ashanti</t>
  </si>
  <si>
    <t>Coast</t>
  </si>
  <si>
    <t>Coastal Zone</t>
  </si>
  <si>
    <t>Rift Valley</t>
  </si>
  <si>
    <t>Rift Zone</t>
  </si>
  <si>
    <t>Dakar</t>
  </si>
  <si>
    <t>Western Region</t>
  </si>
  <si>
    <t>Diourbel</t>
  </si>
  <si>
    <t>DistrictID</t>
  </si>
  <si>
    <t>Region</t>
  </si>
  <si>
    <t>District_Name</t>
  </si>
  <si>
    <t>CHW_Count</t>
  </si>
  <si>
    <t>Population_Est</t>
  </si>
  <si>
    <t>CHWs_per_10K</t>
  </si>
  <si>
    <t>Antanandava</t>
  </si>
  <si>
    <t>Myriakatra</t>
  </si>
  <si>
    <t>Arusha City</t>
  </si>
  <si>
    <t>Ngasuni</t>
  </si>
  <si>
    <t>Kinondoni</t>
  </si>
  <si>
    <t>Goaso</t>
  </si>
  <si>
    <t>Kumasi</t>
  </si>
  <si>
    <t>Mombasa</t>
  </si>
  <si>
    <t>Nakuru</t>
  </si>
  <si>
    <t>Dakar Central</t>
  </si>
  <si>
    <t>Diourbel Town</t>
  </si>
  <si>
    <r>
      <rPr>
        <rFont val="Arial"/>
        <b/>
        <color theme="1"/>
        <sz val="11.0"/>
      </rPr>
      <t>Regions</t>
    </r>
  </si>
  <si>
    <r>
      <rPr>
        <rFont val="Arial"/>
        <b/>
        <color theme="1"/>
        <sz val="11.0"/>
      </rPr>
      <t>Districts</t>
    </r>
  </si>
  <si>
    <r>
      <rPr>
        <rFont val="Arial"/>
        <color theme="1"/>
        <sz val="11.0"/>
      </rPr>
      <t>1.   Arusha</t>
    </r>
  </si>
  <si>
    <r>
      <rPr>
        <rFont val="Arial"/>
        <color theme="1"/>
        <sz val="11.0"/>
      </rPr>
      <t>2.   Dar es Salaam</t>
    </r>
  </si>
  <si>
    <r>
      <rPr>
        <rFont val="Arial"/>
        <color theme="1"/>
        <sz val="11.0"/>
      </rPr>
      <t>3.   Dodoma</t>
    </r>
  </si>
  <si>
    <r>
      <rPr>
        <rFont val="Arial"/>
        <color theme="1"/>
        <sz val="11.0"/>
      </rPr>
      <t>4.   Geita</t>
    </r>
  </si>
  <si>
    <r>
      <rPr>
        <rFont val="Arial"/>
        <color theme="1"/>
        <sz val="11.0"/>
      </rPr>
      <t>5.   Iringa</t>
    </r>
  </si>
  <si>
    <r>
      <rPr>
        <rFont val="Arial"/>
        <color theme="1"/>
        <sz val="11.0"/>
      </rPr>
      <t>6.   Kagera</t>
    </r>
  </si>
  <si>
    <r>
      <rPr>
        <rFont val="Arial"/>
        <color theme="1"/>
        <sz val="11.0"/>
      </rPr>
      <t>7.   Katavi</t>
    </r>
  </si>
  <si>
    <r>
      <rPr>
        <rFont val="Arial"/>
        <color theme="1"/>
        <sz val="11.0"/>
      </rPr>
      <t>8.   Kigoma</t>
    </r>
  </si>
  <si>
    <r>
      <rPr>
        <rFont val="Arial"/>
        <color theme="1"/>
        <sz val="11.0"/>
      </rPr>
      <t>9.   Kilimanjaro</t>
    </r>
  </si>
  <si>
    <r>
      <rPr>
        <rFont val="Arial"/>
        <color theme="1"/>
        <sz val="11.0"/>
      </rPr>
      <t>10. Lindi</t>
    </r>
  </si>
  <si>
    <r>
      <rPr>
        <rFont val="Arial"/>
        <color theme="1"/>
        <sz val="11.0"/>
      </rPr>
      <t>11. Manyara</t>
    </r>
  </si>
  <si>
    <r>
      <rPr>
        <rFont val="Arial"/>
        <color theme="1"/>
        <sz val="11.0"/>
      </rPr>
      <t>12. Mara</t>
    </r>
  </si>
  <si>
    <r>
      <rPr>
        <rFont val="Arial"/>
        <color theme="1"/>
        <sz val="11.0"/>
      </rPr>
      <t>13. Mbeya</t>
    </r>
  </si>
  <si>
    <r>
      <rPr>
        <rFont val="Arial"/>
        <color theme="1"/>
        <sz val="11.0"/>
      </rPr>
      <t>14. Morogoro</t>
    </r>
  </si>
  <si>
    <r>
      <rPr>
        <rFont val="Arial"/>
        <color theme="1"/>
        <sz val="11.0"/>
      </rPr>
      <t>15. Mtwara</t>
    </r>
  </si>
  <si>
    <r>
      <rPr>
        <rFont val="Arial"/>
        <color theme="1"/>
        <sz val="11.0"/>
      </rPr>
      <t>16. Mwanza</t>
    </r>
  </si>
  <si>
    <r>
      <rPr>
        <rFont val="Arial"/>
        <color theme="1"/>
        <sz val="11.0"/>
      </rPr>
      <t>17. Njombe</t>
    </r>
  </si>
  <si>
    <r>
      <rPr>
        <rFont val="Arial"/>
        <color theme="1"/>
        <sz val="11.0"/>
      </rPr>
      <t>18. Pwani</t>
    </r>
  </si>
  <si>
    <r>
      <rPr>
        <rFont val="Arial"/>
        <color theme="1"/>
        <sz val="11.0"/>
      </rPr>
      <t>19. Rukwa</t>
    </r>
  </si>
  <si>
    <r>
      <rPr>
        <rFont val="Arial"/>
        <color theme="1"/>
        <sz val="11.0"/>
      </rPr>
      <t>20. Ruvuma</t>
    </r>
  </si>
  <si>
    <r>
      <rPr>
        <rFont val="Arial"/>
        <color theme="1"/>
        <sz val="11.0"/>
      </rPr>
      <t>21. Shinyanga</t>
    </r>
  </si>
  <si>
    <r>
      <rPr>
        <rFont val="Arial"/>
        <color theme="1"/>
        <sz val="11.0"/>
      </rPr>
      <t>22. Simiyu</t>
    </r>
  </si>
  <si>
    <r>
      <rPr>
        <rFont val="Arial"/>
        <color theme="1"/>
        <sz val="11.0"/>
      </rPr>
      <t>23. Singida</t>
    </r>
  </si>
  <si>
    <r>
      <rPr>
        <rFont val="Arial"/>
        <color theme="1"/>
        <sz val="11.0"/>
      </rPr>
      <t>24. Tabora</t>
    </r>
  </si>
  <si>
    <r>
      <rPr>
        <rFont val="Arial"/>
        <color theme="1"/>
        <sz val="11.0"/>
      </rPr>
      <t>25. Tanga</t>
    </r>
  </si>
  <si>
    <r>
      <rPr>
        <rFont val="Arial"/>
        <color theme="1"/>
        <sz val="11.0"/>
      </rPr>
      <t>26. Songwe</t>
    </r>
  </si>
  <si>
    <r>
      <rPr>
        <rFont val="Arial"/>
        <b/>
        <color theme="1"/>
        <sz val="11.0"/>
      </rPr>
      <t>Zanzibar</t>
    </r>
  </si>
  <si>
    <r>
      <rPr>
        <rFont val="Arial"/>
        <color theme="1"/>
        <sz val="11.0"/>
      </rPr>
      <t>1.   Zanzibar Central/South (Kati/Magharibi)</t>
    </r>
  </si>
  <si>
    <r>
      <rPr>
        <rFont val="Arial"/>
        <color theme="1"/>
        <sz val="11.0"/>
      </rPr>
      <t>2.   Zanzibar North (Kaskazini)</t>
    </r>
  </si>
  <si>
    <r>
      <rPr>
        <rFont val="Arial"/>
        <color theme="1"/>
        <sz val="11.0"/>
      </rPr>
      <t>3.   Zanzibar Urban/West (Mjini/Magharibi)</t>
    </r>
  </si>
  <si>
    <r>
      <rPr>
        <rFont val="Arial"/>
        <color theme="1"/>
        <sz val="11.0"/>
      </rPr>
      <t>4.   Zanzibar South (Kusini)</t>
    </r>
  </si>
  <si>
    <r>
      <rPr>
        <rFont val="Arial"/>
        <color theme="1"/>
        <sz val="11.0"/>
      </rPr>
      <t>5.   Zanzibar Central (Unguja)</t>
    </r>
  </si>
  <si>
    <r>
      <rPr>
        <rFont val="Arial"/>
        <b/>
        <color rgb="FF000000"/>
        <sz val="11.0"/>
      </rPr>
      <t xml:space="preserve">Ghana
</t>
    </r>
    <r>
      <rPr>
        <rFont val="Arial"/>
        <b/>
        <color rgb="FF000000"/>
        <sz val="11.0"/>
      </rPr>
      <t xml:space="preserve">Population: 34,43 million (2024)
</t>
    </r>
    <r>
      <rPr>
        <rFont val="Arial"/>
        <b/>
        <color rgb="FF000000"/>
        <sz val="11.0"/>
      </rPr>
      <t xml:space="preserve">21,934 </t>
    </r>
    <r>
      <rPr>
        <rFont val="Arial"/>
        <color rgb="FF000000"/>
        <sz val="11.0"/>
      </rPr>
      <t xml:space="preserve">active community health workers as of July 2020 distributed across the 16 administrative regions and 261 counties/districts.
</t>
    </r>
    <r>
      <rPr>
        <rFont val="Arial"/>
        <color rgb="FF000000"/>
        <sz val="11.0"/>
      </rPr>
      <t xml:space="preserve">Ghana has an average of </t>
    </r>
    <r>
      <rPr>
        <rFont val="Arial"/>
        <b/>
        <color rgb="FF000000"/>
        <sz val="11.0"/>
      </rPr>
      <t>5,1 Community Health Workers (CHWs) per 10,000 people</t>
    </r>
    <r>
      <rPr>
        <rFont val="Arial"/>
        <color rgb="FF000000"/>
        <sz val="11.0"/>
      </rPr>
      <t xml:space="preserve">, a figure from 2018/2022 data.
</t>
    </r>
    <r>
      <rPr>
        <rFont val="Arial"/>
        <color rgb="FF000000"/>
        <sz val="11.0"/>
      </rPr>
      <t>The distribution of community health workers (CHWs) in Ghana is inequitable, with a higher concentration in more developed, often southern, regions compared to the north.</t>
    </r>
  </si>
  <si>
    <r>
      <rPr>
        <rFont val="Arial"/>
        <color theme="1"/>
        <sz val="11.0"/>
      </rPr>
      <t>Regions</t>
    </r>
  </si>
  <si>
    <r>
      <rPr>
        <rFont val="Arial"/>
        <color theme="1"/>
        <sz val="11.0"/>
      </rPr>
      <t>Districts</t>
    </r>
  </si>
  <si>
    <r>
      <rPr>
        <rFont val="Arial"/>
        <b/>
        <color rgb="FF000000"/>
        <sz val="11.0"/>
      </rPr>
      <t xml:space="preserve">1.   </t>
    </r>
    <r>
      <rPr>
        <rFont val="Arial"/>
        <color rgb="FF001D34"/>
        <sz val="11.0"/>
      </rPr>
      <t>Ahafo</t>
    </r>
  </si>
  <si>
    <r>
      <rPr>
        <rFont val="Arial"/>
        <b/>
        <color rgb="FF000000"/>
        <sz val="11.0"/>
      </rPr>
      <t xml:space="preserve">2.   </t>
    </r>
    <r>
      <rPr>
        <rFont val="Arial"/>
        <color rgb="FF001D34"/>
        <sz val="11.0"/>
      </rPr>
      <t>Ashanti</t>
    </r>
  </si>
  <si>
    <r>
      <rPr>
        <rFont val="Arial"/>
        <b/>
        <color rgb="FF000000"/>
        <sz val="11.0"/>
      </rPr>
      <t xml:space="preserve">3.   </t>
    </r>
    <r>
      <rPr>
        <rFont val="Arial"/>
        <color rgb="FF001D34"/>
        <sz val="11.0"/>
      </rPr>
      <t>Bono</t>
    </r>
  </si>
  <si>
    <r>
      <rPr>
        <rFont val="Arial"/>
        <b/>
        <color rgb="FF000000"/>
        <sz val="11.0"/>
      </rPr>
      <t xml:space="preserve">4.   </t>
    </r>
    <r>
      <rPr>
        <rFont val="Arial"/>
        <color rgb="FF001D34"/>
        <sz val="11.0"/>
      </rPr>
      <t>Bono East</t>
    </r>
  </si>
  <si>
    <r>
      <rPr>
        <rFont val="Arial"/>
        <b/>
        <color rgb="FF000000"/>
        <sz val="11.0"/>
      </rPr>
      <t xml:space="preserve">5.   </t>
    </r>
    <r>
      <rPr>
        <rFont val="Arial"/>
        <color rgb="FF001D34"/>
        <sz val="11.0"/>
      </rPr>
      <t>Central</t>
    </r>
  </si>
  <si>
    <r>
      <rPr>
        <rFont val="Arial"/>
        <b/>
        <color rgb="FF000000"/>
        <sz val="11.0"/>
      </rPr>
      <t xml:space="preserve">6.   </t>
    </r>
    <r>
      <rPr>
        <rFont val="Arial"/>
        <color rgb="FF001D34"/>
        <sz val="11.0"/>
      </rPr>
      <t>Eastern</t>
    </r>
  </si>
  <si>
    <r>
      <rPr>
        <rFont val="Arial"/>
        <b/>
        <color rgb="FF000000"/>
        <sz val="11.0"/>
      </rPr>
      <t xml:space="preserve">7.   </t>
    </r>
    <r>
      <rPr>
        <rFont val="Arial"/>
        <color rgb="FF001D34"/>
        <sz val="11.0"/>
      </rPr>
      <t>Greater Accra</t>
    </r>
  </si>
  <si>
    <r>
      <rPr>
        <rFont val="Arial"/>
        <b/>
        <color rgb="FF000000"/>
        <sz val="11.0"/>
      </rPr>
      <t xml:space="preserve">8.   </t>
    </r>
    <r>
      <rPr>
        <rFont val="Arial"/>
        <color rgb="FF001D34"/>
        <sz val="11.0"/>
      </rPr>
      <t>North East</t>
    </r>
  </si>
  <si>
    <r>
      <rPr>
        <rFont val="Arial"/>
        <b/>
        <color rgb="FF000000"/>
        <sz val="11.0"/>
      </rPr>
      <t xml:space="preserve">9.   </t>
    </r>
    <r>
      <rPr>
        <rFont val="Arial"/>
        <color rgb="FF001D34"/>
        <sz val="11.0"/>
      </rPr>
      <t>Northern</t>
    </r>
  </si>
  <si>
    <r>
      <rPr>
        <rFont val="Arial"/>
        <b/>
        <color rgb="FF000000"/>
        <sz val="11.0"/>
      </rPr>
      <t xml:space="preserve">10. </t>
    </r>
    <r>
      <rPr>
        <rFont val="Arial"/>
        <color rgb="FF001D34"/>
        <sz val="11.0"/>
      </rPr>
      <t>Oti</t>
    </r>
  </si>
  <si>
    <r>
      <rPr>
        <rFont val="Arial"/>
        <b/>
        <color rgb="FF000000"/>
        <sz val="11.0"/>
      </rPr>
      <t xml:space="preserve">11. </t>
    </r>
    <r>
      <rPr>
        <rFont val="Arial"/>
        <color rgb="FF001D34"/>
        <sz val="11.0"/>
      </rPr>
      <t>Savannah</t>
    </r>
  </si>
  <si>
    <r>
      <rPr>
        <rFont val="Arial"/>
        <b/>
        <color rgb="FF000000"/>
        <sz val="11.0"/>
      </rPr>
      <t xml:space="preserve">12. </t>
    </r>
    <r>
      <rPr>
        <rFont val="Arial"/>
        <color rgb="FF001D34"/>
        <sz val="11.0"/>
      </rPr>
      <t>Upper East</t>
    </r>
  </si>
  <si>
    <r>
      <rPr>
        <rFont val="Arial"/>
        <b/>
        <color rgb="FF000000"/>
        <sz val="11.0"/>
      </rPr>
      <t xml:space="preserve">13. </t>
    </r>
    <r>
      <rPr>
        <rFont val="Arial"/>
        <color rgb="FF001D34"/>
        <sz val="11.0"/>
      </rPr>
      <t>Upper West</t>
    </r>
  </si>
  <si>
    <r>
      <rPr>
        <rFont val="Arial"/>
        <b/>
        <color rgb="FF000000"/>
        <sz val="11.0"/>
      </rPr>
      <t xml:space="preserve">14. </t>
    </r>
    <r>
      <rPr>
        <rFont val="Arial"/>
        <color rgb="FF001D34"/>
        <sz val="11.0"/>
      </rPr>
      <t>Volta</t>
    </r>
  </si>
  <si>
    <r>
      <rPr>
        <rFont val="Arial"/>
        <b/>
        <color rgb="FF000000"/>
        <sz val="11.0"/>
      </rPr>
      <t xml:space="preserve">15. </t>
    </r>
    <r>
      <rPr>
        <rFont val="Arial"/>
        <color rgb="FF001D34"/>
        <sz val="11.0"/>
      </rPr>
      <t>Western</t>
    </r>
  </si>
  <si>
    <r>
      <rPr>
        <rFont val="Arial"/>
        <b/>
        <color rgb="FF000000"/>
        <sz val="11.0"/>
      </rPr>
      <t xml:space="preserve">16. </t>
    </r>
    <r>
      <rPr>
        <rFont val="Arial"/>
        <color rgb="FF001D34"/>
        <sz val="11.0"/>
      </rPr>
      <t>Western North</t>
    </r>
  </si>
  <si>
    <r>
      <rPr>
        <rFont val="Arial"/>
        <b/>
        <color rgb="FF000000"/>
        <sz val="11.0"/>
      </rPr>
      <t xml:space="preserve">Kenya
</t>
    </r>
    <r>
      <rPr>
        <rFont val="Arial"/>
        <b/>
        <color rgb="FF000000"/>
        <sz val="11.0"/>
      </rPr>
      <t xml:space="preserve">Population: </t>
    </r>
    <r>
      <rPr>
        <rFont val="Arial"/>
        <color rgb="FF000000"/>
        <sz val="11.0"/>
      </rPr>
      <t xml:space="preserve">56,43 million (2024, The World Bank)
</t>
    </r>
    <r>
      <rPr>
        <rFont val="Arial"/>
        <color rgb="FF000000"/>
        <sz val="11.0"/>
      </rPr>
      <t>Approximately 107,000 community health workers (CHWs) distributed across the 8 administrative regions and 47 countries. All integrated into the national health system to provide door-to-door services.</t>
    </r>
  </si>
  <si>
    <r>
      <rPr>
        <rFont val="Arial"/>
        <color theme="1"/>
        <sz val="11.0"/>
      </rPr>
      <t>An average of 16 per 10,000 people (2024)</t>
    </r>
  </si>
  <si>
    <r>
      <rPr>
        <rFont val="Arial"/>
        <color theme="1"/>
        <sz val="11.0"/>
      </rPr>
      <t>Regions</t>
    </r>
  </si>
  <si>
    <r>
      <rPr>
        <rFont val="Arial"/>
        <color theme="1"/>
        <sz val="11.0"/>
      </rPr>
      <t>Districts/Counties</t>
    </r>
  </si>
  <si>
    <r>
      <rPr>
        <rFont val="Arial"/>
        <sz val="11.0"/>
      </rPr>
      <t>1.   Coast</t>
    </r>
  </si>
  <si>
    <r>
      <rPr>
        <rFont val="Arial"/>
        <b/>
        <color rgb="FF000000"/>
        <sz val="11.0"/>
      </rPr>
      <t xml:space="preserve">2.   </t>
    </r>
    <r>
      <rPr>
        <rFont val="Arial"/>
        <color rgb="FF000000"/>
        <sz val="11.0"/>
      </rPr>
      <t>Rift Valley</t>
    </r>
  </si>
  <si>
    <r>
      <rPr>
        <rFont val="Arial"/>
        <b/>
        <color rgb="FF000000"/>
        <sz val="11.0"/>
      </rPr>
      <t xml:space="preserve">3.   </t>
    </r>
    <r>
      <rPr>
        <rFont val="Arial"/>
        <color rgb="FF000000"/>
        <sz val="11.0"/>
      </rPr>
      <t>Central Highlands</t>
    </r>
  </si>
  <si>
    <r>
      <rPr>
        <rFont val="Arial"/>
        <b/>
        <color rgb="FF000000"/>
        <sz val="11.0"/>
      </rPr>
      <t xml:space="preserve">4.   </t>
    </r>
    <r>
      <rPr>
        <rFont val="Arial"/>
        <color rgb="FF000000"/>
        <sz val="11.0"/>
      </rPr>
      <t>Western Kenya</t>
    </r>
  </si>
  <si>
    <r>
      <rPr>
        <rFont val="Arial"/>
        <b/>
        <color rgb="FF000000"/>
        <sz val="11.0"/>
      </rPr>
      <t xml:space="preserve">5.   </t>
    </r>
    <r>
      <rPr>
        <rFont val="Arial"/>
        <color rgb="FF000000"/>
        <sz val="11.0"/>
      </rPr>
      <t>Nyanza</t>
    </r>
  </si>
  <si>
    <r>
      <rPr>
        <rFont val="Arial"/>
        <b/>
        <color rgb="FF000000"/>
        <sz val="11.0"/>
      </rPr>
      <t xml:space="preserve">6.   </t>
    </r>
    <r>
      <rPr>
        <rFont val="Arial"/>
        <color rgb="FF000000"/>
        <sz val="11.0"/>
      </rPr>
      <t>Eastern Kenya</t>
    </r>
  </si>
  <si>
    <r>
      <rPr>
        <rFont val="Arial"/>
        <b/>
        <color rgb="FF000000"/>
        <sz val="11.0"/>
      </rPr>
      <t xml:space="preserve">7.   </t>
    </r>
    <r>
      <rPr>
        <rFont val="Arial"/>
        <color rgb="FF000000"/>
        <sz val="11.0"/>
      </rPr>
      <t>North Eastern</t>
    </r>
  </si>
  <si>
    <r>
      <rPr>
        <rFont val="Arial"/>
        <b/>
        <color rgb="FF000000"/>
        <sz val="11.0"/>
      </rPr>
      <t xml:space="preserve">8.   </t>
    </r>
    <r>
      <rPr>
        <rFont val="Arial"/>
        <color rgb="FF000000"/>
        <sz val="11.0"/>
      </rPr>
      <t>Nairobi</t>
    </r>
  </si>
  <si>
    <r>
      <rPr>
        <rFont val="Arial"/>
        <b/>
        <color rgb="FF000000"/>
        <sz val="11.0"/>
      </rPr>
      <t xml:space="preserve">Senegal
</t>
    </r>
    <r>
      <rPr>
        <rFont val="Arial"/>
        <color rgb="FF000000"/>
        <sz val="11.0"/>
      </rPr>
      <t xml:space="preserve">Population: about 18,82 million 2025
</t>
    </r>
    <r>
      <rPr>
        <rFont val="Arial"/>
        <color rgb="FF000000"/>
        <sz val="11.0"/>
      </rPr>
      <t xml:space="preserve">52 185 CHWs distributes across the 14 administrative regions, 46 departments and 123 districts
</t>
    </r>
    <r>
      <rPr>
        <rFont val="Arial"/>
        <color rgb="FF000000"/>
        <sz val="11.0"/>
      </rPr>
      <t>Ratio/10,000 people: no official date available. However in 2018, the government objective was to have at least 1 CHW/1000 people in urban area, and at least 1/village.</t>
    </r>
  </si>
  <si>
    <r>
      <rPr>
        <rFont val="Arial"/>
        <color theme="1"/>
        <sz val="11.0"/>
      </rPr>
      <t>Regions</t>
    </r>
  </si>
  <si>
    <r>
      <rPr>
        <rFont val="Arial"/>
        <color theme="1"/>
        <sz val="11.0"/>
      </rPr>
      <t>Departments</t>
    </r>
  </si>
  <si>
    <r>
      <rPr>
        <rFont val="Arial"/>
        <color theme="1"/>
        <sz val="11.0"/>
      </rPr>
      <t>Districts</t>
    </r>
  </si>
  <si>
    <r>
      <rPr>
        <rFont val="Arial"/>
        <color theme="1"/>
        <sz val="11.0"/>
      </rPr>
      <t>1.   Dakar</t>
    </r>
  </si>
  <si>
    <r>
      <rPr>
        <rFont val="Arial"/>
        <color theme="1"/>
        <sz val="11.0"/>
      </rPr>
      <t>2.   Diourbel</t>
    </r>
  </si>
  <si>
    <r>
      <rPr>
        <rFont val="Arial"/>
        <sz val="11.0"/>
      </rPr>
      <t>3.   Fatick</t>
    </r>
  </si>
  <si>
    <r>
      <rPr>
        <rFont val="Arial"/>
        <sz val="11.0"/>
      </rPr>
      <t>4.   Kaffrine</t>
    </r>
  </si>
  <si>
    <r>
      <rPr>
        <rFont val="Arial"/>
        <sz val="11.0"/>
      </rPr>
      <t>5.   Kaolack</t>
    </r>
  </si>
  <si>
    <r>
      <rPr>
        <rFont val="Arial"/>
        <sz val="11.0"/>
      </rPr>
      <t>6.   Kédougou</t>
    </r>
  </si>
  <si>
    <r>
      <rPr>
        <rFont val="Arial"/>
        <sz val="11.0"/>
      </rPr>
      <t>7.   Kolda</t>
    </r>
  </si>
  <si>
    <r>
      <rPr>
        <rFont val="Arial"/>
        <sz val="11.0"/>
      </rPr>
      <t>8.   Louga</t>
    </r>
  </si>
  <si>
    <r>
      <rPr>
        <rFont val="Arial"/>
        <sz val="11.0"/>
      </rPr>
      <t>9.   Matam</t>
    </r>
  </si>
  <si>
    <r>
      <rPr>
        <rFont val="Arial"/>
        <sz val="11.0"/>
      </rPr>
      <t>10. Saint-Louis</t>
    </r>
  </si>
  <si>
    <r>
      <rPr>
        <rFont val="Arial"/>
        <sz val="11.0"/>
      </rPr>
      <t>11. Sédhiou</t>
    </r>
  </si>
  <si>
    <r>
      <rPr>
        <rFont val="Arial"/>
        <sz val="11.0"/>
      </rPr>
      <t>12. Tambacounda</t>
    </r>
  </si>
  <si>
    <r>
      <rPr>
        <rFont val="Arial"/>
        <sz val="11.0"/>
      </rPr>
      <t>13. Thiès</t>
    </r>
  </si>
  <si>
    <r>
      <rPr>
        <rFont val="Arial"/>
        <sz val="11.0"/>
      </rPr>
      <t>14. Ziguinchor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</si>
</sst>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11.0"/>
      <color theme="1"/>
      <name val="Arial"/>
    </font>
    <font>
      <sz val="11.0"/>
      <color rgb="FF000000"/>
      <name val="Arial"/>
    </font>
    <font>
      <color theme="1"/>
      <name val="Times New Roman"/>
      <scheme val="minor"/>
    </font>
    <font>
      <sz val="11.0"/>
      <color theme="1"/>
      <name val="Arial"/>
    </font>
    <font>
      <b/>
      <sz val="11.0"/>
      <color rgb="FF000000"/>
      <name val="Arial"/>
    </font>
    <font/>
    <font>
      <u/>
      <sz val="11.0"/>
      <color rgb="FF0000FF"/>
      <name val="Arial"/>
    </font>
    <font>
      <u/>
      <sz val="10.0"/>
      <color rgb="FF000000"/>
      <name val="Times New Roman"/>
    </font>
    <font>
      <sz val="12.0"/>
      <color rgb="FF0A0A0A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4E191"/>
        <bgColor rgb="FF84E19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0" fontId="3" numFmtId="1" xfId="0" applyAlignment="1" applyBorder="1" applyFont="1" applyNumberFormat="1">
      <alignment horizontal="left" shrinkToFit="1" vertical="top" wrapText="0"/>
    </xf>
    <xf borderId="1" fillId="2" fontId="2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readingOrder="0" vertical="top"/>
    </xf>
    <xf borderId="0" fillId="0" fontId="4" numFmtId="164" xfId="0" applyAlignment="1" applyFont="1" applyNumberFormat="1">
      <alignment horizontal="left" readingOrder="0" vertical="top"/>
    </xf>
    <xf borderId="0" fillId="0" fontId="4" numFmtId="0" xfId="0" applyAlignment="1" applyFont="1">
      <alignment horizontal="left" vertical="top"/>
    </xf>
    <xf borderId="1" fillId="0" fontId="5" numFmtId="0" xfId="0" applyAlignment="1" applyBorder="1" applyFont="1">
      <alignment horizontal="left" shrinkToFit="0" vertical="top" wrapText="1"/>
    </xf>
    <xf borderId="1" fillId="0" fontId="6" numFmtId="1" xfId="0" applyAlignment="1" applyBorder="1" applyFont="1" applyNumberFormat="1">
      <alignment horizontal="left" shrinkToFit="1" vertical="top" wrapText="0"/>
    </xf>
    <xf borderId="2" fillId="3" fontId="2" numFmtId="0" xfId="0" applyAlignment="1" applyBorder="1" applyFill="1" applyFont="1">
      <alignment horizontal="center" shrinkToFit="0" vertical="top" wrapText="1"/>
    </xf>
    <xf borderId="3" fillId="0" fontId="7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shrinkToFit="0" vertical="bottom" wrapText="1"/>
    </xf>
    <xf borderId="0" fillId="0" fontId="5" numFmtId="0" xfId="0" applyAlignment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1" fillId="0" fontId="10" numFmtId="1" xfId="0" applyAlignment="1" applyBorder="1" applyFont="1" applyNumberFormat="1">
      <alignment horizontal="lef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search?q=Ziguinchor&amp;sca_esv=c314a2e9b66c7192&amp;rlz=1C1GCEA_enKE1155KE1155&amp;sxsrf=AE3TifPddLh7p3fND12wEjZbqjpetKeTeQ%3A1762178563242&amp;ei=A7YIacvADpGjkdUPp4HWmQM&amp;ved=2ahUKEwj94ZWPk9aQAxUWOPsDHVc6AiYQgK4QegQIBBAb&amp;uact=5&amp;oq=regions%2Badministrative%2Bdu%2Bsenegal%2B2025&amp;gs_lp=Egxnd3Mtd2l6LXNlcnAiJnJlZ2lvbnMgYWRtaW5pc3RyYXRpdmUgZHUgc2VuZWdhbCAyMDI1MggQABiiBBiJBTIFEAAY7wUyCBAAGIAEGKIEMgUQABjvBTIFEAAY7wVI1ztQmghYqTZwAngBkAEAmAHAAaAB9BeqAQQ1LjIyuAEDyAEA-AEBmAIToAL8DsICChAAGLADGNYEGEfCAg0QABiABBiwAxhDGIoFwgIGEAAYBxgewgIIECEYoAEYwwTCAgoQIRigARjDBBgKmAMAiAYBkAYJkgcENC4xNaAHwFiyBwQyLjE1uAf0DsIHBjUuMTIuMsgHHA&amp;sclient=gws-wiz-serp&amp;mstk=AUtExfDEiBSdT6FcJUlf03filfh3UENGmHQ-3oszRQLp_FpHdmuAQju-9GzUd5QT8nf6qrYP_41SS_jAL7LFsW2iSeqEsNc8YS4-s0MNK486xIbpfC-I6SVCznvchZPoWcPsato00bI20_AXXNdKmeKNQjcLS6OiAhf_tB08d6tNwgs9wMZzuNI7HR9GQDoBHEf2xgS83kAFMk1Ood4vHyrrNa-iguZvDbt2mZeBik_TOdIqZnhLsdtA1Nt2obu_7P2jWQM_sHkx41Fo-0eLy3vQ0KdjbjukCqbs8E9ovIdA5iqm0xh_mXJA5_DQQB_xvEcHAfnFbuAXXKOa44_W1DSqgS9lOCkwNuCujhATuUvZFJ9JiCUL63I47YyTTFKreYgmE4KIt3AyXvvTE1bTMKtpkZu2K4r-NHJPx5cbkzn2ApGEijSJxOIq759giIz1u2wd&amp;csui=3" TargetMode="External"/><Relationship Id="rId11" Type="http://schemas.openxmlformats.org/officeDocument/2006/relationships/hyperlink" Target="https://www.google.com/search?q=Kaolack&amp;sca_esv=c314a2e9b66c7192&amp;rlz=1C1GCEA_enKE1155KE1155&amp;sxsrf=AE3TifPddLh7p3fND12wEjZbqjpetKeTeQ%3A1762178563242&amp;ei=A7YIacvADpGjkdUPp4HWmQM&amp;ved=2ahUKEwj94ZWPk9aQAxUWOPsDHVc6AiYQgK4QegQIBBAJ&amp;uact=5&amp;oq=regions%2Badministrative%2Bdu%2Bsenegal%2B2025&amp;gs_lp=Egxnd3Mtd2l6LXNlcnAiJnJlZ2lvbnMgYWRtaW5pc3RyYXRpdmUgZHUgc2VuZWdhbCAyMDI1MggQABiiBBiJBTIFEAAY7wUyCBAAGIAEGKIEMgUQABjvBTIFEAAY7wVI1ztQmghYqTZwAngBkAEAmAHAAaAB9BeqAQQ1LjIyuAEDyAEA-AEBmAIToAL8DsICChAAGLADGNYEGEfCAg0QABiABBiwAxhDGIoFwgIGEAAYBxgewgIIECEYoAEYwwTCAgoQIRigARjDBBgKmAMAiAYBkAYJkgcENC4xNaAHwFiyBwQyLjE1uAf0DsIHBjUuMTIuMsgHHA&amp;sclient=gws-wiz-serp&amp;mstk=AUtExfDEiBSdT6FcJUlf03filfh3UENGmHQ-3oszRQLp_FpHdmuAQju-9GzUd5QT8nf6qrYP_41SS_jAL7LFsW2iSeqEsNc8YS4-s0MNK486xIbpfC-I6SVCznvchZPoWcPsato00bI20_AXXNdKmeKNQjcLS6OiAhf_tB08d6tNwgs9wMZzuNI7HR9GQDoBHEf2xgS83kAFMk1Ood4vHyrrNa-iguZvDbt2mZeBik_TOdIqZnhLsdtA1Nt2obu_7P2jWQM_sHkx41Fo-0eLy3vQ0KdjbjukCqbs8E9ovIdA5iqm0xh_mXJA5_DQQB_xvEcHAfnFbuAXXKOa44_W1DSqgS9lOCkwNuCujhATuUvZFJ9JiCUL63I47YyTTFKreYgmE4KIt3AyXvvTE1bTMKtpkZu2K4r-NHJPx5cbkzn2ApGEijSJxOIq759giIz1u2wd&amp;csui=3" TargetMode="External"/><Relationship Id="rId10" Type="http://schemas.openxmlformats.org/officeDocument/2006/relationships/hyperlink" Target="https://www.google.com/search?q=Kaffrine&amp;sca_esv=c314a2e9b66c7192&amp;rlz=1C1GCEA_enKE1155KE1155&amp;sxsrf=AE3TifPddLh7p3fND12wEjZbqjpetKeTeQ%3A1762178563242&amp;ei=A7YIacvADpGjkdUPp4HWmQM&amp;ved=2ahUKEwj94ZWPk9aQAxUWOPsDHVc6AiYQgK4QegQIBBAH&amp;uact=5&amp;oq=regions%2Badministrative%2Bdu%2Bsenegal%2B2025&amp;gs_lp=Egxnd3Mtd2l6LXNlcnAiJnJlZ2lvbnMgYWRtaW5pc3RyYXRpdmUgZHUgc2VuZWdhbCAyMDI1MggQABiiBBiJBTIFEAAY7wUyCBAAGIAEGKIEMgUQABjvBTIFEAAY7wVI1ztQmghYqTZwAngBkAEAmAHAAaAB9BeqAQQ1LjIyuAEDyAEA-AEBmAIToAL8DsICChAAGLADGNYEGEfCAg0QABiABBiwAxhDGIoFwgIGEAAYBxgewgIIECEYoAEYwwTCAgoQIRigARjDBBgKmAMAiAYBkAYJkgcENC4xNaAHwFiyBwQyLjE1uAf0DsIHBjUuMTIuMsgHHA&amp;sclient=gws-wiz-serp&amp;mstk=AUtExfDEiBSdT6FcJUlf03filfh3UENGmHQ-3oszRQLp_FpHdmuAQju-9GzUd5QT8nf6qrYP_41SS_jAL7LFsW2iSeqEsNc8YS4-s0MNK486xIbpfC-I6SVCznvchZPoWcPsato00bI20_AXXNdKmeKNQjcLS6OiAhf_tB08d6tNwgs9wMZzuNI7HR9GQDoBHEf2xgS83kAFMk1Ood4vHyrrNa-iguZvDbt2mZeBik_TOdIqZnhLsdtA1Nt2obu_7P2jWQM_sHkx41Fo-0eLy3vQ0KdjbjukCqbs8E9ovIdA5iqm0xh_mXJA5_DQQB_xvEcHAfnFbuAXXKOa44_W1DSqgS9lOCkwNuCujhATuUvZFJ9JiCUL63I47YyTTFKreYgmE4KIt3AyXvvTE1bTMKtpkZu2K4r-NHJPx5cbkzn2ApGEijSJxOIq759giIz1u2wd&amp;csui=3" TargetMode="External"/><Relationship Id="rId21" Type="http://schemas.openxmlformats.org/officeDocument/2006/relationships/drawing" Target="../drawings/drawing8.xml"/><Relationship Id="rId13" Type="http://schemas.openxmlformats.org/officeDocument/2006/relationships/hyperlink" Target="https://www.google.com/search?q=Kolda&amp;sca_esv=c314a2e9b66c7192&amp;rlz=1C1GCEA_enKE1155KE1155&amp;sxsrf=AE3TifPddLh7p3fND12wEjZbqjpetKeTeQ%3A1762178563242&amp;ei=A7YIacvADpGjkdUPp4HWmQM&amp;ved=2ahUKEwj94ZWPk9aQAxUWOPsDHVc6AiYQgK4QegQIBBAN&amp;uact=5&amp;oq=regions%2Badministrative%2Bdu%2Bsenegal%2B2025&amp;gs_lp=Egxnd3Mtd2l6LXNlcnAiJnJlZ2lvbnMgYWRtaW5pc3RyYXRpdmUgZHUgc2VuZWdhbCAyMDI1MggQABiiBBiJBTIFEAAY7wUyCBAAGIAEGKIEMgUQABjvBTIFEAAY7wVI1ztQmghYqTZwAngBkAEAmAHAAaAB9BeqAQQ1LjIyuAEDyAEA-AEBmAIToAL8DsICChAAGLADGNYEGEfCAg0QABiABBiwAxhDGIoFwgIGEAAYBxgewgIIECEYoAEYwwTCAgoQIRigARjDBBgKmAMAiAYBkAYJkgcENC4xNaAHwFiyBwQyLjE1uAf0DsIHBjUuMTIuMsgHHA&amp;sclient=gws-wiz-serp&amp;mstk=AUtExfDEiBSdT6FcJUlf03filfh3UENGmHQ-3oszRQLp_FpHdmuAQju-9GzUd5QT8nf6qrYP_41SS_jAL7LFsW2iSeqEsNc8YS4-s0MNK486xIbpfC-I6SVCznvchZPoWcPsato00bI20_AXXNdKmeKNQjcLS6OiAhf_tB08d6tNwgs9wMZzuNI7HR9GQDoBHEf2xgS83kAFMk1Ood4vHyrrNa-iguZvDbt2mZeBik_TOdIqZnhLsdtA1Nt2obu_7P2jWQM_sHkx41Fo-0eLy3vQ0KdjbjukCqbs8E9ovIdA5iqm0xh_mXJA5_DQQB_xvEcHAfnFbuAXXKOa44_W1DSqgS9lOCkwNuCujhATuUvZFJ9JiCUL63I47YyTTFKreYgmE4KIt3AyXvvTE1bTMKtpkZu2K4r-NHJPx5cbkzn2ApGEijSJxOIq759giIz1u2wd&amp;csui=3" TargetMode="External"/><Relationship Id="rId12" Type="http://schemas.openxmlformats.org/officeDocument/2006/relationships/hyperlink" Target="https://www.google.com/search?q=K%C3%A9dougou&amp;sca_esv=c314a2e9b66c7192&amp;rlz=1C1GCEA_enKE1155KE1155&amp;sxsrf=AE3TifPddLh7p3fND12wEjZbqjpetKeTeQ%3A1762178563242&amp;ei=A7YIacvADpGjkdUPp4HWmQM&amp;ved=2ahUKEwj94ZWPk9aQAxUWOPsDHVc6AiYQgK4QegQIBBAL&amp;uact=5&amp;oq=regions%2Badministrative%2Bdu%2Bsenegal%2B2025&amp;gs_lp=Egxnd3Mtd2l6LXNlcnAiJnJlZ2lvbnMgYWRtaW5pc3RyYXRpdmUgZHUgc2VuZWdhbCAyMDI1MggQABiiBBiJBTIFEAAY7wUyCBAAGIAEGKIEMgUQABjvBTIFEAAY7wVI1ztQmghYqTZwAngBkAEAmAHAAaAB9BeqAQQ1LjIyuAEDyAEA-AEBmAIToAL8DsICChAAGLADGNYEGEfCAg0QABiABBiwAxhDGIoFwgIGEAAYBxgewgIIECEYoAEYwwTCAgoQIRigARjDBBgKmAMAiAYBkAYJkgcENC4xNaAHwFiyBwQyLjE1uAf0DsIHBjUuMTIuMsgHHA&amp;sclient=gws-wiz-serp&amp;mstk=AUtExfDEiBSdT6FcJUlf03filfh3UENGmHQ-3oszRQLp_FpHdmuAQju-9GzUd5QT8nf6qrYP_41SS_jAL7LFsW2iSeqEsNc8YS4-s0MNK486xIbpfC-I6SVCznvchZPoWcPsato00bI20_AXXNdKmeKNQjcLS6OiAhf_tB08d6tNwgs9wMZzuNI7HR9GQDoBHEf2xgS83kAFMk1Ood4vHyrrNa-iguZvDbt2mZeBik_TOdIqZnhLsdtA1Nt2obu_7P2jWQM_sHkx41Fo-0eLy3vQ0KdjbjukCqbs8E9ovIdA5iqm0xh_mXJA5_DQQB_xvEcHAfnFbuAXXKOa44_W1DSqgS9lOCkwNuCujhATuUvZFJ9JiCUL63I47YyTTFKreYgmE4KIt3AyXvvTE1bTMKtpkZu2K4r-NHJPx5cbkzn2ApGEijSJxOIq759giIz1u2wd&amp;csui=3" TargetMode="External"/><Relationship Id="rId1" Type="http://schemas.openxmlformats.org/officeDocument/2006/relationships/hyperlink" Target="https://www.google.com/search?q=Coast&amp;sca_esv=c314a2e9b66c7192&amp;rlz=1C1GCEA_enKE1155KE1155&amp;sxsrf=AE3TifPnRTUdrAFcxuxSsB0cMkuQAU10_Q%3A1762177739189&amp;ei=y7IIaZasC-SEhbIPrtONmAY&amp;ved=2ahUKEwicoebsj9aQAxUPWUEAHQZlF1sQgK4QegQIAxAB&amp;uact=5&amp;oq=Regions%2Bof%2BKenya&amp;gs_lp=Egxnd3Mtd2l6LXNlcnAiEFJlZ2lvbnMgb2YgS2VueWEyCBAAGIAEGMsBMggQABiABBjLATIIEAAYgAQYywEyBhAAGBYYHjIGEAAYFhgeMgYQABgWGB4yCBAAGBYYChgeMgYQABgWGB4yBhAAGBYYHjIGEAAYFhgeSOI3UJwbWOE1cAJ4AZABAJgBiQGgAeIOqgEEMC4xNrgBA8gBAPgBAZgCEqACtQ_CAgoQABiwAxjWBBhHwgIEECMYJ8ICChAjGIAEGCcYigXCAgUQLhiABMICCxAuGIAEGNEDGMcBwgIFEAAYgATCAhAQLhiABBjRAxhDGMcBGIoFwgIKEAAYgAQYQxiKBcICChAuGIAEGBQYhwLCAgoQABiABBgUGIcCwgIIEC4YgAQY1ALCAg4QLhiABBjHARiOBRivAcICDhAuGIAEGNEDGMcBGMsBwgIKEAAYgAQYChjLAZgDAIgGAZAGCJIHBDIuMTagB8mPAbIHBDAuMTa4B68PwgcGMC44LjEwyAc8&amp;sclient=gws-wiz-serp&amp;mstk=AUtExfAiVLYykeMqS86Twgl-xWoBsoglKFVW8NVrjrSiBlQFOXvWyzYaUJkauSFag-awrbMa66OCTxYKMu1YSTbv-onBtSubzOTk2DlcCC7yBBpPUevGx_Uq4pg6IPeC4mjBXfwE3bRlB70EIeXUZUFYg9JE8rtYmLaXsSCStt_DD6Nd-5MWRJJM9cDjGQW7Ai3jLm64AMadRTpAMa0qYcxcpmq79tShO29JEoX40RKh7iLx0l48NGi3qQEkydOiemwFRCsW9fIrNA2YHUiK-Dx49JkyikL9eGJY5I9IBritmHeqFjrPV4OjKXfQAghwbA4HLiNbRU0pR1HalRx3m4jv9BoTch09GborD9DV7xl0jkH730j72jhXJubCHeidE-6rco-9xLE3YiZ5kUjXwn1OgmYT8j-sQffAJRJrMVNjglNhtFL-mbP1oQdKw8y3GWXj&amp;csui=3" TargetMode="External"/><Relationship Id="rId2" Type="http://schemas.openxmlformats.org/officeDocument/2006/relationships/hyperlink" Target="https://www.google.com/search?q=Rift%2BValley&amp;sca_esv=c314a2e9b66c7192&amp;rlz=1C1GCEA_enKE1155KE1155&amp;sxsrf=AE3TifPnRTUdrAFcxuxSsB0cMkuQAU10_Q%3A1762177739189&amp;ei=y7IIaZasC-SEhbIPrtONmAY&amp;ved=2ahUKEwicoebsj9aQAxUPWUEAHQZlF1sQgK4QegQIAxAD&amp;uact=5&amp;oq=Regions%2Bof%2BKenya&amp;gs_lp=Egxnd3Mtd2l6LXNlcnAiEFJlZ2lvbnMgb2YgS2VueWEyCBAAGIAEGMsBMggQABiABBjLATIIEAAYgAQYywEyBhAAGBYYHjIGEAAYFhgeMgYQABgWGB4yCBAAGBYYChgeMgYQABgWGB4yBhAAGBYYHjIGEAAYFhgeSOI3UJwbWOE1cAJ4AZABAJgBiQGgAeIOqgEEMC4xNrgBA8gBAPgBAZgCEqACtQ_CAgoQABiwAxjWBBhHwgIEECMYJ8ICChAjGIAEGCcYigXCAgUQLhiABMICCxAuGIAEGNEDGMcBwgIFEAAYgATCAhAQLhiABBjRAxhDGMcBGIoFwgIKEAAYgAQYQxiKBcICChAuGIAEGBQYhwLCAgoQABiABBgUGIcCwgIIEC4YgAQY1ALCAg4QLhiABBjHARiOBRivAcICDhAuGIAEGNEDGMcBGMsBwgIKEAAYgAQYChjLAZgDAIgGAZAGCJIHBDIuMTagB8mPAbIHBDAuMTa4B68PwgcGMC44LjEwyAc8&amp;sclient=gws-wiz-serp&amp;mstk=AUtExfAiVLYykeMqS86Twgl-xWoBsoglKFVW8NVrjrSiBlQFOXvWyzYaUJkauSFag-awrbMa66OCTxYKMu1YSTbv-onBtSubzOTk2DlcCC7yBBpPUevGx_Uq4pg6IPeC4mjBXfwE3bRlB70EIeXUZUFYg9JE8rtYmLaXsSCStt_DD6Nd-5MWRJJM9cDjGQW7Ai3jLm64AMadRTpAMa0qYcxcpmq79tShO29JEoX40RKh7iLx0l48NGi3qQEkydOiemwFRCsW9fIrNA2YHUiK-Dx49JkyikL9eGJY5I9IBritmHeqFjrPV4OjKXfQAghwbA4HLiNbRU0pR1HalRx3m4jv9BoTch09GborD9DV7xl0jkH730j72jhXJubCHeidE-6rco-9xLE3YiZ5kUjXwn1OgmYT8j-sQffAJRJrMVNjglNhtFL-mbP1oQdKw8y3GWXj&amp;csui=3" TargetMode="External"/><Relationship Id="rId3" Type="http://schemas.openxmlformats.org/officeDocument/2006/relationships/hyperlink" Target="https://www.google.com/search?q=Central%2BHighlands&amp;sca_esv=c314a2e9b66c7192&amp;rlz=1C1GCEA_enKE1155KE1155&amp;sxsrf=AE3TifPnRTUdrAFcxuxSsB0cMkuQAU10_Q%3A1762177739189&amp;ei=y7IIaZasC-SEhbIPrtONmAY&amp;ved=2ahUKEwicoebsj9aQAxUPWUEAHQZlF1sQgK4QegQIAxAF&amp;uact=5&amp;oq=Regions%2Bof%2BKenya&amp;gs_lp=Egxnd3Mtd2l6LXNlcnAiEFJlZ2lvbnMgb2YgS2VueWEyCBAAGIAEGMsBMggQABiABBjLATIIEAAYgAQYywEyBhAAGBYYHjIGEAAYFhgeMgYQABgWGB4yCBAAGBYYChgeMgYQABgWGB4yBhAAGBYYHjIGEAAYFhgeSOI3UJwbWOE1cAJ4AZABAJgBiQGgAeIOqgEEMC4xNrgBA8gBAPgBAZgCEqACtQ_CAgoQABiwAxjWBBhHwgIEECMYJ8ICChAjGIAEGCcYigXCAgUQLhiABMICCxAuGIAEGNEDGMcBwgIFEAAYgATCAhAQLhiABBjRAxhDGMcBGIoFwgIKEAAYgAQYQxiKBcICChAuGIAEGBQYhwLCAgoQABiABBgUGIcCwgIIEC4YgAQY1ALCAg4QLhiABBjHARiOBRivAcICDhAuGIAEGNEDGMcBGMsBwgIKEAAYgAQYChjLAZgDAIgGAZAGCJIHBDIuMTagB8mPAbIHBDAuMTa4B68PwgcGMC44LjEwyAc8&amp;sclient=gws-wiz-serp&amp;mstk=AUtExfAiVLYykeMqS86Twgl-xWoBsoglKFVW8NVrjrSiBlQFOXvWyzYaUJkauSFag-awrbMa66OCTxYKMu1YSTbv-onBtSubzOTk2DlcCC7yBBpPUevGx_Uq4pg6IPeC4mjBXfwE3bRlB70EIeXUZUFYg9JE8rtYmLaXsSCStt_DD6Nd-5MWRJJM9cDjGQW7Ai3jLm64AMadRTpAMa0qYcxcpmq79tShO29JEoX40RKh7iLx0l48NGi3qQEkydOiemwFRCsW9fIrNA2YHUiK-Dx49JkyikL9eGJY5I9IBritmHeqFjrPV4OjKXfQAghwbA4HLiNbRU0pR1HalRx3m4jv9BoTch09GborD9DV7xl0jkH730j72jhXJubCHeidE-6rco-9xLE3YiZ5kUjXwn1OgmYT8j-sQffAJRJrMVNjglNhtFL-mbP1oQdKw8y3GWXj&amp;csui=3" TargetMode="External"/><Relationship Id="rId4" Type="http://schemas.openxmlformats.org/officeDocument/2006/relationships/hyperlink" Target="https://www.google.com/search?q=Western%2BKenya&amp;sca_esv=c314a2e9b66c7192&amp;rlz=1C1GCEA_enKE1155KE1155&amp;sxsrf=AE3TifPnRTUdrAFcxuxSsB0cMkuQAU10_Q%3A1762177739189&amp;ei=y7IIaZasC-SEhbIPrtONmAY&amp;ved=2ahUKEwicoebsj9aQAxUPWUEAHQZlF1sQgK4QegQIAxAH&amp;uact=5&amp;oq=Regions%2Bof%2BKenya&amp;gs_lp=Egxnd3Mtd2l6LXNlcnAiEFJlZ2lvbnMgb2YgS2VueWEyCBAAGIAEGMsBMggQABiABBjLATIIEAAYgAQYywEyBhAAGBYYHjIGEAAYFhgeMgYQABgWGB4yCBAAGBYYChgeMgYQABgWGB4yBhAAGBYYHjIGEAAYFhgeSOI3UJwbWOE1cAJ4AZABAJgBiQGgAeIOqgEEMC4xNrgBA8gBAPgBAZgCEqACtQ_CAgoQABiwAxjWBBhHwgIEECMYJ8ICChAjGIAEGCcYigXCAgUQLhiABMICCxAuGIAEGNEDGMcBwgIFEAAYgATCAhAQLhiABBjRAxhDGMcBGIoFwgIKEAAYgAQYQxiKBcICChAuGIAEGBQYhwLCAgoQABiABBgUGIcCwgIIEC4YgAQY1ALCAg4QLhiABBjHARiOBRivAcICDhAuGIAEGNEDGMcBGMsBwgIKEAAYgAQYChjLAZgDAIgGAZAGCJIHBDIuMTagB8mPAbIHBDAuMTa4B68PwgcGMC44LjEwyAc8&amp;sclient=gws-wiz-serp&amp;mstk=AUtExfAiVLYykeMqS86Twgl-xWoBsoglKFVW8NVrjrSiBlQFOXvWyzYaUJkauSFag-awrbMa66OCTxYKMu1YSTbv-onBtSubzOTk2DlcCC7yBBpPUevGx_Uq4pg6IPeC4mjBXfwE3bRlB70EIeXUZUFYg9JE8rtYmLaXsSCStt_DD6Nd-5MWRJJM9cDjGQW7Ai3jLm64AMadRTpAMa0qYcxcpmq79tShO29JEoX40RKh7iLx0l48NGi3qQEkydOiemwFRCsW9fIrNA2YHUiK-Dx49JkyikL9eGJY5I9IBritmHeqFjrPV4OjKXfQAghwbA4HLiNbRU0pR1HalRx3m4jv9BoTch09GborD9DV7xl0jkH730j72jhXJubCHeidE-6rco-9xLE3YiZ5kUjXwn1OgmYT8j-sQffAJRJrMVNjglNhtFL-mbP1oQdKw8y3GWXj&amp;csui=3" TargetMode="External"/><Relationship Id="rId9" Type="http://schemas.openxmlformats.org/officeDocument/2006/relationships/hyperlink" Target="https://www.google.com/search?q=Fatick&amp;sca_esv=c314a2e9b66c7192&amp;rlz=1C1GCEA_enKE1155KE1155&amp;sxsrf=AE3TifPddLh7p3fND12wEjZbqjpetKeTeQ%3A1762178563242&amp;ei=A7YIacvADpGjkdUPp4HWmQM&amp;ved=2ahUKEwj94ZWPk9aQAxUWOPsDHVc6AiYQgK4QegQIBBAF&amp;uact=5&amp;oq=regions%2Badministrative%2Bdu%2Bsenegal%2B2025&amp;gs_lp=Egxnd3Mtd2l6LXNlcnAiJnJlZ2lvbnMgYWRtaW5pc3RyYXRpdmUgZHUgc2VuZWdhbCAyMDI1MggQABiiBBiJBTIFEAAY7wUyCBAAGIAEGKIEMgUQABjvBTIFEAAY7wVI1ztQmghYqTZwAngBkAEAmAHAAaAB9BeqAQQ1LjIyuAEDyAEA-AEBmAIToAL8DsICChAAGLADGNYEGEfCAg0QABiABBiwAxhDGIoFwgIGEAAYBxgewgIIECEYoAEYwwTCAgoQIRigARjDBBgKmAMAiAYBkAYJkgcENC4xNaAHwFiyBwQyLjE1uAf0DsIHBjUuMTIuMsgHHA&amp;sclient=gws-wiz-serp&amp;mstk=AUtExfDEiBSdT6FcJUlf03filfh3UENGmHQ-3oszRQLp_FpHdmuAQju-9GzUd5QT8nf6qrYP_41SS_jAL7LFsW2iSeqEsNc8YS4-s0MNK486xIbpfC-I6SVCznvchZPoWcPsato00bI20_AXXNdKmeKNQjcLS6OiAhf_tB08d6tNwgs9wMZzuNI7HR9GQDoBHEf2xgS83kAFMk1Ood4vHyrrNa-iguZvDbt2mZeBik_TOdIqZnhLsdtA1Nt2obu_7P2jWQM_sHkx41Fo-0eLy3vQ0KdjbjukCqbs8E9ovIdA5iqm0xh_mXJA5_DQQB_xvEcHAfnFbuAXXKOa44_W1DSqgS9lOCkwNuCujhATuUvZFJ9JiCUL63I47YyTTFKreYgmE4KIt3AyXvvTE1bTMKtpkZu2K4r-NHJPx5cbkzn2ApGEijSJxOIq759giIz1u2wd&amp;csui=3" TargetMode="External"/><Relationship Id="rId15" Type="http://schemas.openxmlformats.org/officeDocument/2006/relationships/hyperlink" Target="https://www.google.com/search?q=Matam&amp;sca_esv=c314a2e9b66c7192&amp;rlz=1C1GCEA_enKE1155KE1155&amp;sxsrf=AE3TifPddLh7p3fND12wEjZbqjpetKeTeQ%3A1762178563242&amp;ei=A7YIacvADpGjkdUPp4HWmQM&amp;ved=2ahUKEwj94ZWPk9aQAxUWOPsDHVc6AiYQgK4QegQIBBAR&amp;uact=5&amp;oq=regions%2Badministrative%2Bdu%2Bsenegal%2B2025&amp;gs_lp=Egxnd3Mtd2l6LXNlcnAiJnJlZ2lvbnMgYWRtaW5pc3RyYXRpdmUgZHUgc2VuZWdhbCAyMDI1MggQABiiBBiJBTIFEAAY7wUyCBAAGIAEGKIEMgUQABjvBTIFEAAY7wVI1ztQmghYqTZwAngBkAEAmAHAAaAB9BeqAQQ1LjIyuAEDyAEA-AEBmAIToAL8DsICChAAGLADGNYEGEfCAg0QABiABBiwAxhDGIoFwgIGEAAYBxgewgIIECEYoAEYwwTCAgoQIRigARjDBBgKmAMAiAYBkAYJkgcENC4xNaAHwFiyBwQyLjE1uAf0DsIHBjUuMTIuMsgHHA&amp;sclient=gws-wiz-serp&amp;mstk=AUtExfDEiBSdT6FcJUlf03filfh3UENGmHQ-3oszRQLp_FpHdmuAQju-9GzUd5QT8nf6qrYP_41SS_jAL7LFsW2iSeqEsNc8YS4-s0MNK486xIbpfC-I6SVCznvchZPoWcPsato00bI20_AXXNdKmeKNQjcLS6OiAhf_tB08d6tNwgs9wMZzuNI7HR9GQDoBHEf2xgS83kAFMk1Ood4vHyrrNa-iguZvDbt2mZeBik_TOdIqZnhLsdtA1Nt2obu_7P2jWQM_sHkx41Fo-0eLy3vQ0KdjbjukCqbs8E9ovIdA5iqm0xh_mXJA5_DQQB_xvEcHAfnFbuAXXKOa44_W1DSqgS9lOCkwNuCujhATuUvZFJ9JiCUL63I47YyTTFKreYgmE4KIt3AyXvvTE1bTMKtpkZu2K4r-NHJPx5cbkzn2ApGEijSJxOIq759giIz1u2wd&amp;csui=3" TargetMode="External"/><Relationship Id="rId14" Type="http://schemas.openxmlformats.org/officeDocument/2006/relationships/hyperlink" Target="https://www.google.com/search?q=Louga&amp;sca_esv=c314a2e9b66c7192&amp;rlz=1C1GCEA_enKE1155KE1155&amp;sxsrf=AE3TifPddLh7p3fND12wEjZbqjpetKeTeQ%3A1762178563242&amp;ei=A7YIacvADpGjkdUPp4HWmQM&amp;ved=2ahUKEwj94ZWPk9aQAxUWOPsDHVc6AiYQgK4QegQIBBAP&amp;uact=5&amp;oq=regions%2Badministrative%2Bdu%2Bsenegal%2B2025&amp;gs_lp=Egxnd3Mtd2l6LXNlcnAiJnJlZ2lvbnMgYWRtaW5pc3RyYXRpdmUgZHUgc2VuZWdhbCAyMDI1MggQABiiBBiJBTIFEAAY7wUyCBAAGIAEGKIEMgUQABjvBTIFEAAY7wVI1ztQmghYqTZwAngBkAEAmAHAAaAB9BeqAQQ1LjIyuAEDyAEA-AEBmAIToAL8DsICChAAGLADGNYEGEfCAg0QABiABBiwAxhDGIoFwgIGEAAYBxgewgIIECEYoAEYwwTCAgoQIRigARjDBBgKmAMAiAYBkAYJkgcENC4xNaAHwFiyBwQyLjE1uAf0DsIHBjUuMTIuMsgHHA&amp;sclient=gws-wiz-serp&amp;mstk=AUtExfDEiBSdT6FcJUlf03filfh3UENGmHQ-3oszRQLp_FpHdmuAQju-9GzUd5QT8nf6qrYP_41SS_jAL7LFsW2iSeqEsNc8YS4-s0MNK486xIbpfC-I6SVCznvchZPoWcPsato00bI20_AXXNdKmeKNQjcLS6OiAhf_tB08d6tNwgs9wMZzuNI7HR9GQDoBHEf2xgS83kAFMk1Ood4vHyrrNa-iguZvDbt2mZeBik_TOdIqZnhLsdtA1Nt2obu_7P2jWQM_sHkx41Fo-0eLy3vQ0KdjbjukCqbs8E9ovIdA5iqm0xh_mXJA5_DQQB_xvEcHAfnFbuAXXKOa44_W1DSqgS9lOCkwNuCujhATuUvZFJ9JiCUL63I47YyTTFKreYgmE4KIt3AyXvvTE1bTMKtpkZu2K4r-NHJPx5cbkzn2ApGEijSJxOIq759giIz1u2wd&amp;csui=3" TargetMode="External"/><Relationship Id="rId17" Type="http://schemas.openxmlformats.org/officeDocument/2006/relationships/hyperlink" Target="https://www.google.com/search?q=S%C3%A9dhiou&amp;sca_esv=c314a2e9b66c7192&amp;rlz=1C1GCEA_enKE1155KE1155&amp;sxsrf=AE3TifPddLh7p3fND12wEjZbqjpetKeTeQ%3A1762178563242&amp;ei=A7YIacvADpGjkdUPp4HWmQM&amp;ved=2ahUKEwj94ZWPk9aQAxUWOPsDHVc6AiYQgK4QegQIBBAV&amp;uact=5&amp;oq=regions%2Badministrative%2Bdu%2Bsenegal%2B2025&amp;gs_lp=Egxnd3Mtd2l6LXNlcnAiJnJlZ2lvbnMgYWRtaW5pc3RyYXRpdmUgZHUgc2VuZWdhbCAyMDI1MggQABiiBBiJBTIFEAAY7wUyCBAAGIAEGKIEMgUQABjvBTIFEAAY7wVI1ztQmghYqTZwAngBkAEAmAHAAaAB9BeqAQQ1LjIyuAEDyAEA-AEBmAIToAL8DsICChAAGLADGNYEGEfCAg0QABiABBiwAxhDGIoFwgIGEAAYBxgewgIIECEYoAEYwwTCAgoQIRigARjDBBgKmAMAiAYBkAYJkgcENC4xNaAHwFiyBwQyLjE1uAf0DsIHBjUuMTIuMsgHHA&amp;sclient=gws-wiz-serp&amp;mstk=AUtExfDEiBSdT6FcJUlf03filfh3UENGmHQ-3oszRQLp_FpHdmuAQju-9GzUd5QT8nf6qrYP_41SS_jAL7LFsW2iSeqEsNc8YS4-s0MNK486xIbpfC-I6SVCznvchZPoWcPsato00bI20_AXXNdKmeKNQjcLS6OiAhf_tB08d6tNwgs9wMZzuNI7HR9GQDoBHEf2xgS83kAFMk1Ood4vHyrrNa-iguZvDbt2mZeBik_TOdIqZnhLsdtA1Nt2obu_7P2jWQM_sHkx41Fo-0eLy3vQ0KdjbjukCqbs8E9ovIdA5iqm0xh_mXJA5_DQQB_xvEcHAfnFbuAXXKOa44_W1DSqgS9lOCkwNuCujhATuUvZFJ9JiCUL63I47YyTTFKreYgmE4KIt3AyXvvTE1bTMKtpkZu2K4r-NHJPx5cbkzn2ApGEijSJxOIq759giIz1u2wd&amp;csui=3" TargetMode="External"/><Relationship Id="rId16" Type="http://schemas.openxmlformats.org/officeDocument/2006/relationships/hyperlink" Target="https://www.google.com/search?q=Saint-Louis&amp;sca_esv=c314a2e9b66c7192&amp;rlz=1C1GCEA_enKE1155KE1155&amp;sxsrf=AE3TifPddLh7p3fND12wEjZbqjpetKeTeQ%3A1762178563242&amp;ei=A7YIacvADpGjkdUPp4HWmQM&amp;ved=2ahUKEwj94ZWPk9aQAxUWOPsDHVc6AiYQgK4QegQIBBAT&amp;uact=5&amp;oq=regions%2Badministrative%2Bdu%2Bsenegal%2B2025&amp;gs_lp=Egxnd3Mtd2l6LXNlcnAiJnJlZ2lvbnMgYWRtaW5pc3RyYXRpdmUgZHUgc2VuZWdhbCAyMDI1MggQABiiBBiJBTIFEAAY7wUyCBAAGIAEGKIEMgUQABjvBTIFEAAY7wVI1ztQmghYqTZwAngBkAEAmAHAAaAB9BeqAQQ1LjIyuAEDyAEA-AEBmAIToAL8DsICChAAGLADGNYEGEfCAg0QABiABBiwAxhDGIoFwgIGEAAYBxgewgIIECEYoAEYwwTCAgoQIRigARjDBBgKmAMAiAYBkAYJkgcENC4xNaAHwFiyBwQyLjE1uAf0DsIHBjUuMTIuMsgHHA&amp;sclient=gws-wiz-serp&amp;mstk=AUtExfDEiBSdT6FcJUlf03filfh3UENGmHQ-3oszRQLp_FpHdmuAQju-9GzUd5QT8nf6qrYP_41SS_jAL7LFsW2iSeqEsNc8YS4-s0MNK486xIbpfC-I6SVCznvchZPoWcPsato00bI20_AXXNdKmeKNQjcLS6OiAhf_tB08d6tNwgs9wMZzuNI7HR9GQDoBHEf2xgS83kAFMk1Ood4vHyrrNa-iguZvDbt2mZeBik_TOdIqZnhLsdtA1Nt2obu_7P2jWQM_sHkx41Fo-0eLy3vQ0KdjbjukCqbs8E9ovIdA5iqm0xh_mXJA5_DQQB_xvEcHAfnFbuAXXKOa44_W1DSqgS9lOCkwNuCujhATuUvZFJ9JiCUL63I47YyTTFKreYgmE4KIt3AyXvvTE1bTMKtpkZu2K4r-NHJPx5cbkzn2ApGEijSJxOIq759giIz1u2wd&amp;csui=3" TargetMode="External"/><Relationship Id="rId5" Type="http://schemas.openxmlformats.org/officeDocument/2006/relationships/hyperlink" Target="https://www.google.com/search?q=Nyanza&amp;sca_esv=c314a2e9b66c7192&amp;rlz=1C1GCEA_enKE1155KE1155&amp;sxsrf=AE3TifPnRTUdrAFcxuxSsB0cMkuQAU10_Q%3A1762177739189&amp;ei=y7IIaZasC-SEhbIPrtONmAY&amp;ved=2ahUKEwicoebsj9aQAxUPWUEAHQZlF1sQgK4QegQIAxAJ&amp;uact=5&amp;oq=Regions%2Bof%2BKenya&amp;gs_lp=Egxnd3Mtd2l6LXNlcnAiEFJlZ2lvbnMgb2YgS2VueWEyCBAAGIAEGMsBMggQABiABBjLATIIEAAYgAQYywEyBhAAGBYYHjIGEAAYFhgeMgYQABgWGB4yCBAAGBYYChgeMgYQABgWGB4yBhAAGBYYHjIGEAAYFhgeSOI3UJwbWOE1cAJ4AZABAJgBiQGgAeIOqgEEMC4xNrgBA8gBAPgBAZgCEqACtQ_CAgoQABiwAxjWBBhHwgIEECMYJ8ICChAjGIAEGCcYigXCAgUQLhiABMICCxAuGIAEGNEDGMcBwgIFEAAYgATCAhAQLhiABBjRAxhDGMcBGIoFwgIKEAAYgAQYQxiKBcICChAuGIAEGBQYhwLCAgoQABiABBgUGIcCwgIIEC4YgAQY1ALCAg4QLhiABBjHARiOBRivAcICDhAuGIAEGNEDGMcBGMsBwgIKEAAYgAQYChjLAZgDAIgGAZAGCJIHBDIuMTagB8mPAbIHBDAuMTa4B68PwgcGMC44LjEwyAc8&amp;sclient=gws-wiz-serp&amp;mstk=AUtExfAiVLYykeMqS86Twgl-xWoBsoglKFVW8NVrjrSiBlQFOXvWyzYaUJkauSFag-awrbMa66OCTxYKMu1YSTbv-onBtSubzOTk2DlcCC7yBBpPUevGx_Uq4pg6IPeC4mjBXfwE3bRlB70EIeXUZUFYg9JE8rtYmLaXsSCStt_DD6Nd-5MWRJJM9cDjGQW7Ai3jLm64AMadRTpAMa0qYcxcpmq79tShO29JEoX40RKh7iLx0l48NGi3qQEkydOiemwFRCsW9fIrNA2YHUiK-Dx49JkyikL9eGJY5I9IBritmHeqFjrPV4OjKXfQAghwbA4HLiNbRU0pR1HalRx3m4jv9BoTch09GborD9DV7xl0jkH730j72jhXJubCHeidE-6rco-9xLE3YiZ5kUjXwn1OgmYT8j-sQffAJRJrMVNjglNhtFL-mbP1oQdKw8y3GWXj&amp;csui=3" TargetMode="External"/><Relationship Id="rId19" Type="http://schemas.openxmlformats.org/officeDocument/2006/relationships/hyperlink" Target="https://www.google.com/search?q=Thi%C3%A8s&amp;sca_esv=c314a2e9b66c7192&amp;rlz=1C1GCEA_enKE1155KE1155&amp;sxsrf=AE3TifPddLh7p3fND12wEjZbqjpetKeTeQ%3A1762178563242&amp;ei=A7YIacvADpGjkdUPp4HWmQM&amp;ved=2ahUKEwj94ZWPk9aQAxUWOPsDHVc6AiYQgK4QegQIBBAZ&amp;uact=5&amp;oq=regions%2Badministrative%2Bdu%2Bsenegal%2B2025&amp;gs_lp=Egxnd3Mtd2l6LXNlcnAiJnJlZ2lvbnMgYWRtaW5pc3RyYXRpdmUgZHUgc2VuZWdhbCAyMDI1MggQABiiBBiJBTIFEAAY7wUyCBAAGIAEGKIEMgUQABjvBTIFEAAY7wVI1ztQmghYqTZwAngBkAEAmAHAAaAB9BeqAQQ1LjIyuAEDyAEA-AEBmAIToAL8DsICChAAGLADGNYEGEfCAg0QABiABBiwAxhDGIoFwgIGEAAYBxgewgIIECEYoAEYwwTCAgoQIRigARjDBBgKmAMAiAYBkAYJkgcENC4xNaAHwFiyBwQyLjE1uAf0DsIHBjUuMTIuMsgHHA&amp;sclient=gws-wiz-serp&amp;mstk=AUtExfDEiBSdT6FcJUlf03filfh3UENGmHQ-3oszRQLp_FpHdmuAQju-9GzUd5QT8nf6qrYP_41SS_jAL7LFsW2iSeqEsNc8YS4-s0MNK486xIbpfC-I6SVCznvchZPoWcPsato00bI20_AXXNdKmeKNQjcLS6OiAhf_tB08d6tNwgs9wMZzuNI7HR9GQDoBHEf2xgS83kAFMk1Ood4vHyrrNa-iguZvDbt2mZeBik_TOdIqZnhLsdtA1Nt2obu_7P2jWQM_sHkx41Fo-0eLy3vQ0KdjbjukCqbs8E9ovIdA5iqm0xh_mXJA5_DQQB_xvEcHAfnFbuAXXKOa44_W1DSqgS9lOCkwNuCujhATuUvZFJ9JiCUL63I47YyTTFKreYgmE4KIt3AyXvvTE1bTMKtpkZu2K4r-NHJPx5cbkzn2ApGEijSJxOIq759giIz1u2wd&amp;csui=3" TargetMode="External"/><Relationship Id="rId6" Type="http://schemas.openxmlformats.org/officeDocument/2006/relationships/hyperlink" Target="https://www.google.com/search?q=Eastern%2BKenya&amp;sca_esv=c314a2e9b66c7192&amp;rlz=1C1GCEA_enKE1155KE1155&amp;sxsrf=AE3TifPnRTUdrAFcxuxSsB0cMkuQAU10_Q%3A1762177739189&amp;ei=y7IIaZasC-SEhbIPrtONmAY&amp;ved=2ahUKEwicoebsj9aQAxUPWUEAHQZlF1sQgK4QegQIAxAL&amp;uact=5&amp;oq=Regions%2Bof%2BKenya&amp;gs_lp=Egxnd3Mtd2l6LXNlcnAiEFJlZ2lvbnMgb2YgS2VueWEyCBAAGIAEGMsBMggQABiABBjLATIIEAAYgAQYywEyBhAAGBYYHjIGEAAYFhgeMgYQABgWGB4yCBAAGBYYChgeMgYQABgWGB4yBhAAGBYYHjIGEAAYFhgeSOI3UJwbWOE1cAJ4AZABAJgBiQGgAeIOqgEEMC4xNrgBA8gBAPgBAZgCEqACtQ_CAgoQABiwAxjWBBhHwgIEECMYJ8ICChAjGIAEGCcYigXCAgUQLhiABMICCxAuGIAEGNEDGMcBwgIFEAAYgATCAhAQLhiABBjRAxhDGMcBGIoFwgIKEAAYgAQYQxiKBcICChAuGIAEGBQYhwLCAgoQABiABBgUGIcCwgIIEC4YgAQY1ALCAg4QLhiABBjHARiOBRivAcICDhAuGIAEGNEDGMcBGMsBwgIKEAAYgAQYChjLAZgDAIgGAZAGCJIHBDIuMTagB8mPAbIHBDAuMTa4B68PwgcGMC44LjEwyAc8&amp;sclient=gws-wiz-serp&amp;mstk=AUtExfAiVLYykeMqS86Twgl-xWoBsoglKFVW8NVrjrSiBlQFOXvWyzYaUJkauSFag-awrbMa66OCTxYKMu1YSTbv-onBtSubzOTk2DlcCC7yBBpPUevGx_Uq4pg6IPeC4mjBXfwE3bRlB70EIeXUZUFYg9JE8rtYmLaXsSCStt_DD6Nd-5MWRJJM9cDjGQW7Ai3jLm64AMadRTpAMa0qYcxcpmq79tShO29JEoX40RKh7iLx0l48NGi3qQEkydOiemwFRCsW9fIrNA2YHUiK-Dx49JkyikL9eGJY5I9IBritmHeqFjrPV4OjKXfQAghwbA4HLiNbRU0pR1HalRx3m4jv9BoTch09GborD9DV7xl0jkH730j72jhXJubCHeidE-6rco-9xLE3YiZ5kUjXwn1OgmYT8j-sQffAJRJrMVNjglNhtFL-mbP1oQdKw8y3GWXj&amp;csui=3" TargetMode="External"/><Relationship Id="rId18" Type="http://schemas.openxmlformats.org/officeDocument/2006/relationships/hyperlink" Target="https://www.google.com/search?q=Tambacounda&amp;sca_esv=c314a2e9b66c7192&amp;rlz=1C1GCEA_enKE1155KE1155&amp;sxsrf=AE3TifPddLh7p3fND12wEjZbqjpetKeTeQ%3A1762178563242&amp;ei=A7YIacvADpGjkdUPp4HWmQM&amp;ved=2ahUKEwj94ZWPk9aQAxUWOPsDHVc6AiYQgK4QegQIBBAX&amp;uact=5&amp;oq=regions%2Badministrative%2Bdu%2Bsenegal%2B2025&amp;gs_lp=Egxnd3Mtd2l6LXNlcnAiJnJlZ2lvbnMgYWRtaW5pc3RyYXRpdmUgZHUgc2VuZWdhbCAyMDI1MggQABiiBBiJBTIFEAAY7wUyCBAAGIAEGKIEMgUQABjvBTIFEAAY7wVI1ztQmghYqTZwAngBkAEAmAHAAaAB9BeqAQQ1LjIyuAEDyAEA-AEBmAIToAL8DsICChAAGLADGNYEGEfCAg0QABiABBiwAxhDGIoFwgIGEAAYBxgewgIIECEYoAEYwwTCAgoQIRigARjDBBgKmAMAiAYBkAYJkgcENC4xNaAHwFiyBwQyLjE1uAf0DsIHBjUuMTIuMsgHHA&amp;sclient=gws-wiz-serp&amp;mstk=AUtExfDEiBSdT6FcJUlf03filfh3UENGmHQ-3oszRQLp_FpHdmuAQju-9GzUd5QT8nf6qrYP_41SS_jAL7LFsW2iSeqEsNc8YS4-s0MNK486xIbpfC-I6SVCznvchZPoWcPsato00bI20_AXXNdKmeKNQjcLS6OiAhf_tB08d6tNwgs9wMZzuNI7HR9GQDoBHEf2xgS83kAFMk1Ood4vHyrrNa-iguZvDbt2mZeBik_TOdIqZnhLsdtA1Nt2obu_7P2jWQM_sHkx41Fo-0eLy3vQ0KdjbjukCqbs8E9ovIdA5iqm0xh_mXJA5_DQQB_xvEcHAfnFbuAXXKOa44_W1DSqgS9lOCkwNuCujhATuUvZFJ9JiCUL63I47YyTTFKreYgmE4KIt3AyXvvTE1bTMKtpkZu2K4r-NHJPx5cbkzn2ApGEijSJxOIq759giIz1u2wd&amp;csui=3" TargetMode="External"/><Relationship Id="rId7" Type="http://schemas.openxmlformats.org/officeDocument/2006/relationships/hyperlink" Target="https://www.google.com/search?q=North%2BEastern&amp;sca_esv=c314a2e9b66c7192&amp;rlz=1C1GCEA_enKE1155KE1155&amp;sxsrf=AE3TifPnRTUdrAFcxuxSsB0cMkuQAU10_Q%3A1762177739189&amp;ei=y7IIaZasC-SEhbIPrtONmAY&amp;ved=2ahUKEwicoebsj9aQAxUPWUEAHQZlF1sQgK4QegQIAxAN&amp;uact=5&amp;oq=Regions%2Bof%2BKenya&amp;gs_lp=Egxnd3Mtd2l6LXNlcnAiEFJlZ2lvbnMgb2YgS2VueWEyCBAAGIAEGMsBMggQABiABBjLATIIEAAYgAQYywEyBhAAGBYYHjIGEAAYFhgeMgYQABgWGB4yCBAAGBYYChgeMgYQABgWGB4yBhAAGBYYHjIGEAAYFhgeSOI3UJwbWOE1cAJ4AZABAJgBiQGgAeIOqgEEMC4xNrgBA8gBAPgBAZgCEqACtQ_CAgoQABiwAxjWBBhHwgIEECMYJ8ICChAjGIAEGCcYigXCAgUQLhiABMICCxAuGIAEGNEDGMcBwgIFEAAYgATCAhAQLhiABBjRAxhDGMcBGIoFwgIKEAAYgAQYQxiKBcICChAuGIAEGBQYhwLCAgoQABiABBgUGIcCwgIIEC4YgAQY1ALCAg4QLhiABBjHARiOBRivAcICDhAuGIAEGNEDGMcBGMsBwgIKEAAYgAQYChjLAZgDAIgGAZAGCJIHBDIuMTagB8mPAbIHBDAuMTa4B68PwgcGMC44LjEwyAc8&amp;sclient=gws-wiz-serp&amp;mstk=AUtExfAiVLYykeMqS86Twgl-xWoBsoglKFVW8NVrjrSiBlQFOXvWyzYaUJkauSFag-awrbMa66OCTxYKMu1YSTbv-onBtSubzOTk2DlcCC7yBBpPUevGx_Uq4pg6IPeC4mjBXfwE3bRlB70EIeXUZUFYg9JE8rtYmLaXsSCStt_DD6Nd-5MWRJJM9cDjGQW7Ai3jLm64AMadRTpAMa0qYcxcpmq79tShO29JEoX40RKh7iLx0l48NGi3qQEkydOiemwFRCsW9fIrNA2YHUiK-Dx49JkyikL9eGJY5I9IBritmHeqFjrPV4OjKXfQAghwbA4HLiNbRU0pR1HalRx3m4jv9BoTch09GborD9DV7xl0jkH730j72jhXJubCHeidE-6rco-9xLE3YiZ5kUjXwn1OgmYT8j-sQffAJRJrMVNjglNhtFL-mbP1oQdKw8y3GWXj&amp;csui=3" TargetMode="External"/><Relationship Id="rId8" Type="http://schemas.openxmlformats.org/officeDocument/2006/relationships/hyperlink" Target="https://www.google.com/search?q=Nairobi&amp;sca_esv=c314a2e9b66c7192&amp;rlz=1C1GCEA_enKE1155KE1155&amp;sxsrf=AE3TifPnRTUdrAFcxuxSsB0cMkuQAU10_Q%3A1762177739189&amp;ei=y7IIaZasC-SEhbIPrtONmAY&amp;ved=2ahUKEwicoebsj9aQAxUPWUEAHQZlF1sQgK4QegQIAxAP&amp;uact=5&amp;oq=Regions%2Bof%2BKenya&amp;gs_lp=Egxnd3Mtd2l6LXNlcnAiEFJlZ2lvbnMgb2YgS2VueWEyCBAAGIAEGMsBMggQABiABBjLATIIEAAYgAQYywEyBhAAGBYYHjIGEAAYFhgeMgYQABgWGB4yCBAAGBYYChgeMgYQABgWGB4yBhAAGBYYHjIGEAAYFhgeSOI3UJwbWOE1cAJ4AZABAJgBiQGgAeIOqgEEMC4xNrgBA8gBAPgBAZgCEqACtQ_CAgoQABiwAxjWBBhHwgIEECMYJ8ICChAjGIAEGCcYigXCAgUQLhiABMICCxAuGIAEGNEDGMcBwgIFEAAYgATCAhAQLhiABBjRAxhDGMcBGIoFwgIKEAAYgAQYQxiKBcICChAuGIAEGBQYhwLCAgoQABiABBgUGIcCwgIIEC4YgAQY1ALCAg4QLhiABBjHARiOBRivAcICDhAuGIAEGNEDGMcBGMsBwgIKEAAYgAQYChjLAZgDAIgGAZAGCJIHBDIuMTagB8mPAbIHBDAuMTa4B68PwgcGMC44LjEwyAc8&amp;sclient=gws-wiz-serp&amp;mstk=AUtExfAiVLYykeMqS86Twgl-xWoBsoglKFVW8NVrjrSiBlQFOXvWyzYaUJkauSFag-awrbMa66OCTxYKMu1YSTbv-onBtSubzOTk2DlcCC7yBBpPUevGx_Uq4pg6IPeC4mjBXfwE3bRlB70EIeXUZUFYg9JE8rtYmLaXsSCStt_DD6Nd-5MWRJJM9cDjGQW7Ai3jLm64AMadRTpAMa0qYcxcpmq79tShO29JEoX40RKh7iLx0l48NGi3qQEkydOiemwFRCsW9fIrNA2YHUiK-Dx49JkyikL9eGJY5I9IBritmHeqFjrPV4OjKXfQAghwbA4HLiNbRU0pR1HalRx3m4jv9BoTch09GborD9DV7xl0jkH730j72jhXJubCHeidE-6rco-9xLE3YiZ5kUjXwn1OgmYT8j-sQffAJRJrMVNjglNhtFL-mbP1oQdKw8y3GWXj&amp;csu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40.14"/>
    <col customWidth="1" min="3" max="3" width="32.14"/>
    <col customWidth="1" min="4" max="4" width="2.71"/>
    <col customWidth="1" min="5" max="26" width="8.71"/>
  </cols>
  <sheetData>
    <row r="1" ht="141.75" customHeight="1">
      <c r="A1" s="1" t="s">
        <v>0</v>
      </c>
    </row>
    <row r="2" ht="21.75" customHeight="1">
      <c r="A2" s="2" t="s">
        <v>1</v>
      </c>
      <c r="B2" s="2" t="s">
        <v>2</v>
      </c>
      <c r="C2" s="2" t="s">
        <v>3</v>
      </c>
    </row>
    <row r="3" ht="63.0" customHeight="1">
      <c r="A3" s="2" t="s">
        <v>4</v>
      </c>
      <c r="B3" s="3" t="s">
        <v>5</v>
      </c>
      <c r="C3" s="4">
        <v>22.0</v>
      </c>
    </row>
    <row r="4" ht="31.5" customHeight="1">
      <c r="A4" s="2" t="s">
        <v>6</v>
      </c>
      <c r="B4" s="3" t="s">
        <v>7</v>
      </c>
      <c r="C4" s="4">
        <v>10.0</v>
      </c>
    </row>
    <row r="5" ht="94.5" customHeight="1">
      <c r="A5" s="2" t="s">
        <v>8</v>
      </c>
      <c r="B5" s="3" t="s">
        <v>9</v>
      </c>
      <c r="C5" s="4">
        <v>23.0</v>
      </c>
    </row>
    <row r="6" ht="63.0" customHeight="1">
      <c r="A6" s="2" t="s">
        <v>10</v>
      </c>
      <c r="B6" s="3" t="s">
        <v>11</v>
      </c>
      <c r="C6" s="4">
        <v>23.0</v>
      </c>
    </row>
    <row r="7" ht="47.25" customHeight="1">
      <c r="A7" s="2" t="s">
        <v>12</v>
      </c>
      <c r="B7" s="3" t="s">
        <v>13</v>
      </c>
      <c r="C7" s="4">
        <v>22.0</v>
      </c>
    </row>
    <row r="8" ht="63.0" customHeight="1">
      <c r="A8" s="2" t="s">
        <v>14</v>
      </c>
      <c r="B8" s="3" t="s">
        <v>15</v>
      </c>
      <c r="C8" s="4">
        <v>18.0</v>
      </c>
    </row>
    <row r="9" ht="38.25" customHeight="1">
      <c r="A9" s="5" t="s">
        <v>16</v>
      </c>
      <c r="B9" s="6" t="s">
        <v>17</v>
      </c>
      <c r="C9" s="5" t="s">
        <v>18</v>
      </c>
    </row>
    <row r="10" ht="90.75" customHeight="1">
      <c r="A10" s="1" t="s">
        <v>19</v>
      </c>
    </row>
    <row r="11" ht="69.0" customHeight="1">
      <c r="A11" s="1" t="s">
        <v>20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D1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4.29"/>
  </cols>
  <sheetData>
    <row r="1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</row>
    <row r="2">
      <c r="A2" s="7">
        <v>1.0</v>
      </c>
      <c r="B2" s="7" t="s">
        <v>30</v>
      </c>
      <c r="C2" s="7">
        <v>2.8E7</v>
      </c>
      <c r="D2" s="7">
        <v>50720.0</v>
      </c>
      <c r="E2" s="7">
        <v>14.2</v>
      </c>
      <c r="F2" s="7">
        <v>24.0</v>
      </c>
      <c r="G2" s="7">
        <v>114.0</v>
      </c>
      <c r="H2" s="7">
        <v>2024.0</v>
      </c>
      <c r="I2" s="8">
        <v>45505.0</v>
      </c>
    </row>
    <row r="3">
      <c r="A3" s="7">
        <v>2.0</v>
      </c>
      <c r="B3" s="7" t="s">
        <v>31</v>
      </c>
      <c r="C3" s="7">
        <v>5.9851347E7</v>
      </c>
      <c r="D3" s="7">
        <v>50620.0</v>
      </c>
      <c r="E3" s="7">
        <v>8.5</v>
      </c>
      <c r="F3" s="7">
        <v>26.0</v>
      </c>
      <c r="G3" s="7">
        <v>169.0</v>
      </c>
      <c r="H3" s="7">
        <v>2025.0</v>
      </c>
      <c r="I3" s="8">
        <v>45731.0</v>
      </c>
    </row>
    <row r="4">
      <c r="A4" s="7">
        <v>3.0</v>
      </c>
      <c r="B4" s="7" t="s">
        <v>32</v>
      </c>
      <c r="C4" s="7">
        <v>3.443E7</v>
      </c>
      <c r="D4" s="7">
        <v>21934.0</v>
      </c>
      <c r="E4" s="7">
        <v>6.4</v>
      </c>
      <c r="F4" s="7">
        <v>16.0</v>
      </c>
      <c r="G4" s="7">
        <v>261.0</v>
      </c>
      <c r="H4" s="7">
        <v>2020.0</v>
      </c>
      <c r="I4" s="8">
        <v>45268.0</v>
      </c>
    </row>
    <row r="5">
      <c r="A5" s="7">
        <v>4.0</v>
      </c>
      <c r="B5" s="7" t="s">
        <v>33</v>
      </c>
      <c r="C5" s="7">
        <v>5.4E7</v>
      </c>
      <c r="D5" s="7">
        <v>45000.0</v>
      </c>
      <c r="E5" s="7">
        <v>8.3</v>
      </c>
      <c r="F5" s="7">
        <v>47.0</v>
      </c>
      <c r="G5" s="7">
        <v>290.0</v>
      </c>
      <c r="H5" s="7">
        <v>2022.0</v>
      </c>
      <c r="I5" s="8">
        <v>45097.0</v>
      </c>
    </row>
    <row r="6">
      <c r="A6" s="7">
        <v>5.0</v>
      </c>
      <c r="B6" s="7" t="s">
        <v>34</v>
      </c>
      <c r="C6" s="7">
        <v>1.882E7</v>
      </c>
      <c r="D6" s="7">
        <v>52185.0</v>
      </c>
      <c r="E6" s="7">
        <v>27.7</v>
      </c>
      <c r="F6" s="7">
        <v>14.0</v>
      </c>
      <c r="G6" s="7">
        <v>123.0</v>
      </c>
      <c r="H6" s="7">
        <v>2018.0</v>
      </c>
      <c r="I6" s="8">
        <v>45179.0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35</v>
      </c>
    </row>
    <row r="2">
      <c r="A2" s="7" t="s">
        <v>36</v>
      </c>
    </row>
    <row r="4">
      <c r="A4" s="7" t="s">
        <v>37</v>
      </c>
    </row>
    <row r="5">
      <c r="A5" s="7" t="s">
        <v>38</v>
      </c>
    </row>
    <row r="6">
      <c r="A6" s="7" t="s">
        <v>39</v>
      </c>
    </row>
    <row r="7">
      <c r="A7" s="7" t="s">
        <v>40</v>
      </c>
    </row>
    <row r="10">
      <c r="A10" s="7" t="s">
        <v>41</v>
      </c>
    </row>
    <row r="11">
      <c r="A11" s="7" t="s">
        <v>42</v>
      </c>
    </row>
    <row r="12">
      <c r="A12" s="7" t="s">
        <v>43</v>
      </c>
    </row>
    <row r="13">
      <c r="A13" s="7" t="s">
        <v>44</v>
      </c>
    </row>
    <row r="14">
      <c r="A14" s="7" t="s">
        <v>45</v>
      </c>
    </row>
    <row r="15">
      <c r="A15" s="7" t="s">
        <v>46</v>
      </c>
    </row>
    <row r="16">
      <c r="A16" s="7" t="s">
        <v>47</v>
      </c>
    </row>
    <row r="17">
      <c r="A17" s="7" t="s">
        <v>48</v>
      </c>
    </row>
    <row r="18">
      <c r="A18" s="7" t="s">
        <v>49</v>
      </c>
    </row>
    <row r="19">
      <c r="A19" s="7" t="s">
        <v>50</v>
      </c>
    </row>
    <row r="20">
      <c r="A20" s="7" t="s">
        <v>51</v>
      </c>
    </row>
    <row r="21">
      <c r="A21" s="7" t="s">
        <v>52</v>
      </c>
    </row>
    <row r="23">
      <c r="A23" s="7" t="s">
        <v>53</v>
      </c>
    </row>
    <row r="24">
      <c r="A24" s="7" t="s">
        <v>54</v>
      </c>
    </row>
    <row r="25">
      <c r="A25" s="7" t="s">
        <v>55</v>
      </c>
    </row>
    <row r="26">
      <c r="A26" s="7" t="s">
        <v>56</v>
      </c>
    </row>
    <row r="29">
      <c r="A29" s="7" t="s">
        <v>57</v>
      </c>
    </row>
    <row r="30">
      <c r="A30" s="7" t="s">
        <v>58</v>
      </c>
    </row>
    <row r="31">
      <c r="A31" s="7" t="s">
        <v>43</v>
      </c>
    </row>
    <row r="32">
      <c r="A32" s="7" t="s">
        <v>59</v>
      </c>
    </row>
    <row r="33">
      <c r="A33" s="7" t="s">
        <v>60</v>
      </c>
    </row>
    <row r="34">
      <c r="A34" s="7" t="s">
        <v>61</v>
      </c>
    </row>
    <row r="35">
      <c r="A35" s="7" t="s">
        <v>62</v>
      </c>
    </row>
    <row r="36">
      <c r="A36" s="7" t="s">
        <v>63</v>
      </c>
    </row>
    <row r="37">
      <c r="A37" s="7" t="s">
        <v>64</v>
      </c>
    </row>
    <row r="38">
      <c r="A38" s="7" t="s">
        <v>65</v>
      </c>
    </row>
    <row r="40">
      <c r="A40" s="7" t="s">
        <v>53</v>
      </c>
    </row>
    <row r="41">
      <c r="A41" s="7" t="s">
        <v>66</v>
      </c>
    </row>
    <row r="42">
      <c r="A42" s="7" t="s">
        <v>67</v>
      </c>
    </row>
    <row r="43">
      <c r="A43" s="7" t="s">
        <v>68</v>
      </c>
    </row>
    <row r="44">
      <c r="A44" s="7" t="s">
        <v>69</v>
      </c>
    </row>
    <row r="47">
      <c r="A47" s="7" t="s">
        <v>70</v>
      </c>
    </row>
    <row r="48">
      <c r="A48" s="7" t="s">
        <v>71</v>
      </c>
    </row>
    <row r="49">
      <c r="A49" s="7" t="s">
        <v>43</v>
      </c>
    </row>
    <row r="50">
      <c r="A50" s="7" t="s">
        <v>72</v>
      </c>
    </row>
    <row r="51">
      <c r="A51" s="7" t="s">
        <v>73</v>
      </c>
    </row>
    <row r="52">
      <c r="A52" s="7" t="s">
        <v>60</v>
      </c>
    </row>
    <row r="53">
      <c r="A53" s="7" t="s">
        <v>74</v>
      </c>
    </row>
    <row r="54">
      <c r="A54" s="7" t="s">
        <v>75</v>
      </c>
    </row>
    <row r="55">
      <c r="A55" s="7" t="s">
        <v>76</v>
      </c>
    </row>
    <row r="56">
      <c r="A56" s="7" t="s">
        <v>77</v>
      </c>
    </row>
    <row r="57">
      <c r="A57" s="7" t="s">
        <v>78</v>
      </c>
    </row>
    <row r="58">
      <c r="A58" s="7" t="s">
        <v>79</v>
      </c>
    </row>
    <row r="60">
      <c r="A60" s="7" t="s">
        <v>53</v>
      </c>
    </row>
    <row r="61">
      <c r="A61" s="7" t="s">
        <v>80</v>
      </c>
    </row>
    <row r="62">
      <c r="A62" s="7" t="s">
        <v>81</v>
      </c>
    </row>
    <row r="63">
      <c r="A63" s="7" t="s">
        <v>82</v>
      </c>
    </row>
    <row r="64">
      <c r="A64" s="7" t="s">
        <v>83</v>
      </c>
    </row>
    <row r="67">
      <c r="A67" s="7" t="s">
        <v>84</v>
      </c>
    </row>
    <row r="68">
      <c r="A68" s="7" t="s">
        <v>85</v>
      </c>
    </row>
    <row r="69">
      <c r="A69" s="7" t="s">
        <v>86</v>
      </c>
    </row>
    <row r="70">
      <c r="A70" s="7" t="s">
        <v>87</v>
      </c>
    </row>
    <row r="71">
      <c r="A71" s="7" t="s">
        <v>88</v>
      </c>
    </row>
    <row r="73">
      <c r="A73" s="7" t="s">
        <v>89</v>
      </c>
    </row>
    <row r="76">
      <c r="A76" s="7" t="s">
        <v>90</v>
      </c>
    </row>
    <row r="77">
      <c r="A77" s="7" t="s">
        <v>91</v>
      </c>
    </row>
    <row r="78">
      <c r="A78" s="7" t="s">
        <v>92</v>
      </c>
    </row>
    <row r="79">
      <c r="A79" s="7" t="s">
        <v>93</v>
      </c>
    </row>
    <row r="80">
      <c r="A80" s="7" t="s">
        <v>94</v>
      </c>
    </row>
    <row r="81">
      <c r="A81" s="7" t="s">
        <v>95</v>
      </c>
    </row>
    <row r="82">
      <c r="A82" s="7" t="s">
        <v>96</v>
      </c>
    </row>
    <row r="85">
      <c r="A85" s="7" t="s">
        <v>97</v>
      </c>
    </row>
    <row r="86">
      <c r="A86" s="9" t="str">
        <f>SUM(Countries[Total_CHWs])</f>
        <v>#ERROR!</v>
      </c>
    </row>
    <row r="87">
      <c r="A87" s="9" t="str">
        <f>AVERAGE(Countries[CHWs_per_10000])</f>
        <v>#ERROR!</v>
      </c>
    </row>
    <row r="88">
      <c r="A88" s="9" t="str">
        <f>COUNT(Countries[CountryID])</f>
        <v>#ERROR!</v>
      </c>
    </row>
    <row r="89">
      <c r="A89" s="9" t="str">
        <f>SUM(Districts[CHW_Count])</f>
        <v>#ERROR!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98</v>
      </c>
      <c r="B1" s="7" t="s">
        <v>21</v>
      </c>
      <c r="C1" s="7" t="s">
        <v>22</v>
      </c>
      <c r="D1" s="7" t="s">
        <v>99</v>
      </c>
      <c r="E1" s="7" t="s">
        <v>100</v>
      </c>
      <c r="F1" s="7" t="s">
        <v>101</v>
      </c>
      <c r="G1" s="7" t="s">
        <v>102</v>
      </c>
    </row>
    <row r="2">
      <c r="A2" s="7">
        <v>101.0</v>
      </c>
      <c r="B2" s="7">
        <v>1.0</v>
      </c>
      <c r="C2" s="7" t="s">
        <v>30</v>
      </c>
      <c r="D2" s="7" t="s">
        <v>103</v>
      </c>
      <c r="E2" s="7">
        <v>22.0</v>
      </c>
      <c r="F2" s="7">
        <v>1.0</v>
      </c>
      <c r="G2" s="7" t="s">
        <v>104</v>
      </c>
    </row>
    <row r="3">
      <c r="A3" s="7">
        <v>102.0</v>
      </c>
      <c r="B3" s="7">
        <v>1.0</v>
      </c>
      <c r="C3" s="7" t="s">
        <v>30</v>
      </c>
      <c r="D3" s="7" t="s">
        <v>105</v>
      </c>
      <c r="E3" s="7">
        <v>8.0</v>
      </c>
      <c r="F3" s="7">
        <v>2.0</v>
      </c>
      <c r="G3" s="7" t="s">
        <v>104</v>
      </c>
    </row>
    <row r="4">
      <c r="A4" s="7">
        <v>103.0</v>
      </c>
      <c r="B4" s="7">
        <v>1.0</v>
      </c>
      <c r="C4" s="7" t="s">
        <v>30</v>
      </c>
      <c r="D4" s="7" t="s">
        <v>106</v>
      </c>
      <c r="E4" s="7">
        <v>4.0</v>
      </c>
      <c r="F4" s="7">
        <v>3.0</v>
      </c>
      <c r="G4" s="7" t="s">
        <v>104</v>
      </c>
    </row>
    <row r="5">
      <c r="A5" s="7">
        <v>104.0</v>
      </c>
      <c r="B5" s="7">
        <v>1.0</v>
      </c>
      <c r="C5" s="7" t="s">
        <v>30</v>
      </c>
      <c r="D5" s="7" t="s">
        <v>107</v>
      </c>
      <c r="E5" s="7">
        <v>6.0</v>
      </c>
      <c r="F5" s="7">
        <v>4.0</v>
      </c>
      <c r="G5" s="7" t="s">
        <v>104</v>
      </c>
    </row>
    <row r="6">
      <c r="A6" s="7">
        <v>105.0</v>
      </c>
      <c r="B6" s="7">
        <v>1.0</v>
      </c>
      <c r="C6" s="7" t="s">
        <v>30</v>
      </c>
      <c r="D6" s="7" t="s">
        <v>108</v>
      </c>
      <c r="E6" s="7">
        <v>6.0</v>
      </c>
      <c r="F6" s="7">
        <v>5.0</v>
      </c>
      <c r="G6" s="7" t="s">
        <v>109</v>
      </c>
    </row>
    <row r="7">
      <c r="A7" s="7">
        <v>105.0</v>
      </c>
      <c r="B7" s="7">
        <v>2.0</v>
      </c>
      <c r="C7" s="7" t="s">
        <v>31</v>
      </c>
      <c r="D7" s="7" t="s">
        <v>110</v>
      </c>
      <c r="E7" s="7">
        <v>7.0</v>
      </c>
      <c r="F7" s="7">
        <v>1.0</v>
      </c>
      <c r="G7" s="7" t="s">
        <v>111</v>
      </c>
    </row>
    <row r="8">
      <c r="A8" s="7">
        <v>106.0</v>
      </c>
      <c r="B8" s="7">
        <v>2.0</v>
      </c>
      <c r="C8" s="7" t="s">
        <v>31</v>
      </c>
      <c r="D8" s="7" t="s">
        <v>112</v>
      </c>
      <c r="E8" s="7">
        <v>5.0</v>
      </c>
      <c r="F8" s="7">
        <v>2.0</v>
      </c>
      <c r="G8" s="7" t="s">
        <v>113</v>
      </c>
    </row>
    <row r="9">
      <c r="A9" s="7">
        <v>107.0</v>
      </c>
      <c r="B9" s="7">
        <v>2.0</v>
      </c>
      <c r="C9" s="7" t="s">
        <v>31</v>
      </c>
      <c r="D9" s="7" t="s">
        <v>114</v>
      </c>
      <c r="E9" s="7">
        <v>4.0</v>
      </c>
      <c r="F9" s="7">
        <v>3.0</v>
      </c>
      <c r="G9" s="7" t="s">
        <v>115</v>
      </c>
    </row>
    <row r="10">
      <c r="A10" s="7">
        <v>201.0</v>
      </c>
      <c r="B10" s="7">
        <v>3.0</v>
      </c>
      <c r="C10" s="7" t="s">
        <v>32</v>
      </c>
      <c r="D10" s="7" t="s">
        <v>116</v>
      </c>
      <c r="E10" s="7">
        <v>8.0</v>
      </c>
      <c r="F10" s="7">
        <v>1.0</v>
      </c>
      <c r="G10" s="7" t="s">
        <v>117</v>
      </c>
    </row>
    <row r="11">
      <c r="A11" s="7">
        <v>202.0</v>
      </c>
      <c r="B11" s="7">
        <v>3.0</v>
      </c>
      <c r="C11" s="7" t="s">
        <v>32</v>
      </c>
      <c r="D11" s="7" t="s">
        <v>118</v>
      </c>
      <c r="E11" s="7">
        <v>9.0</v>
      </c>
      <c r="F11" s="7">
        <v>2.0</v>
      </c>
      <c r="G11" s="7" t="s">
        <v>117</v>
      </c>
    </row>
    <row r="12">
      <c r="A12" s="7">
        <v>301.0</v>
      </c>
      <c r="B12" s="7">
        <v>4.0</v>
      </c>
      <c r="C12" s="7" t="s">
        <v>33</v>
      </c>
      <c r="D12" s="7" t="s">
        <v>119</v>
      </c>
      <c r="E12" s="7">
        <v>7.0</v>
      </c>
      <c r="F12" s="7">
        <v>1.0</v>
      </c>
      <c r="G12" s="7" t="s">
        <v>120</v>
      </c>
    </row>
    <row r="13">
      <c r="A13" s="7">
        <v>302.0</v>
      </c>
      <c r="B13" s="7">
        <v>4.0</v>
      </c>
      <c r="C13" s="7" t="s">
        <v>33</v>
      </c>
      <c r="D13" s="7" t="s">
        <v>121</v>
      </c>
      <c r="E13" s="7">
        <v>11.0</v>
      </c>
      <c r="F13" s="7">
        <v>2.0</v>
      </c>
      <c r="G13" s="7" t="s">
        <v>122</v>
      </c>
    </row>
    <row r="14">
      <c r="A14" s="7">
        <v>401.0</v>
      </c>
      <c r="B14" s="7">
        <v>5.0</v>
      </c>
      <c r="C14" s="7" t="s">
        <v>34</v>
      </c>
      <c r="D14" s="7" t="s">
        <v>123</v>
      </c>
      <c r="E14" s="7">
        <v>5.0</v>
      </c>
      <c r="F14" s="7">
        <v>1.0</v>
      </c>
      <c r="G14" s="7" t="s">
        <v>124</v>
      </c>
    </row>
    <row r="15">
      <c r="A15" s="7">
        <v>402.0</v>
      </c>
      <c r="B15" s="7">
        <v>5.0</v>
      </c>
      <c r="C15" s="7" t="s">
        <v>34</v>
      </c>
      <c r="D15" s="7" t="s">
        <v>125</v>
      </c>
      <c r="E15" s="7">
        <v>3.0</v>
      </c>
      <c r="F15" s="7">
        <v>2.0</v>
      </c>
      <c r="G15" s="7" t="s">
        <v>115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126</v>
      </c>
      <c r="B1" s="7" t="s">
        <v>98</v>
      </c>
      <c r="C1" s="7" t="s">
        <v>21</v>
      </c>
      <c r="D1" s="7" t="s">
        <v>22</v>
      </c>
      <c r="E1" s="7" t="s">
        <v>127</v>
      </c>
      <c r="F1" s="7" t="s">
        <v>128</v>
      </c>
      <c r="G1" s="7" t="s">
        <v>129</v>
      </c>
      <c r="H1" s="7" t="s">
        <v>130</v>
      </c>
      <c r="I1" s="7" t="s">
        <v>131</v>
      </c>
    </row>
    <row r="2">
      <c r="A2" s="7">
        <v>1001.0</v>
      </c>
      <c r="B2" s="7">
        <v>101.0</v>
      </c>
      <c r="C2" s="7">
        <v>1.0</v>
      </c>
      <c r="D2" s="7" t="s">
        <v>30</v>
      </c>
      <c r="E2" s="7" t="s">
        <v>103</v>
      </c>
      <c r="F2" s="7" t="s">
        <v>104</v>
      </c>
      <c r="G2" s="7">
        <v>850.0</v>
      </c>
      <c r="H2" s="7">
        <v>6000000.0</v>
      </c>
      <c r="I2" s="7">
        <v>14.2</v>
      </c>
    </row>
    <row r="3">
      <c r="A3" s="7">
        <v>1002.0</v>
      </c>
      <c r="B3" s="7">
        <v>101.0</v>
      </c>
      <c r="C3" s="7">
        <v>1.0</v>
      </c>
      <c r="D3" s="7" t="s">
        <v>30</v>
      </c>
      <c r="E3" s="7" t="s">
        <v>103</v>
      </c>
      <c r="F3" s="7" t="s">
        <v>132</v>
      </c>
      <c r="G3" s="7">
        <v>520.0</v>
      </c>
      <c r="H3" s="7">
        <v>3500000.0</v>
      </c>
      <c r="I3" s="7">
        <v>14.9</v>
      </c>
    </row>
    <row r="4">
      <c r="A4" s="7">
        <v>1003.0</v>
      </c>
      <c r="B4" s="7">
        <v>102.0</v>
      </c>
      <c r="C4" s="7">
        <v>1.0</v>
      </c>
      <c r="D4" s="7" t="s">
        <v>30</v>
      </c>
      <c r="E4" s="7" t="s">
        <v>105</v>
      </c>
      <c r="F4" s="7" t="s">
        <v>133</v>
      </c>
      <c r="G4" s="7">
        <v>680.0</v>
      </c>
      <c r="H4" s="7">
        <v>4500000.0</v>
      </c>
      <c r="I4" s="7">
        <v>15.1</v>
      </c>
    </row>
    <row r="5">
      <c r="A5" s="7">
        <v>1004.0</v>
      </c>
      <c r="B5" s="7">
        <v>105.0</v>
      </c>
      <c r="C5" s="7">
        <v>2.0</v>
      </c>
      <c r="D5" s="7" t="s">
        <v>31</v>
      </c>
      <c r="E5" s="7" t="s">
        <v>110</v>
      </c>
      <c r="F5" s="7" t="s">
        <v>134</v>
      </c>
      <c r="G5" s="7">
        <v>420.0</v>
      </c>
      <c r="H5" s="7">
        <v>2800000.0</v>
      </c>
      <c r="I5" s="7">
        <v>15.0</v>
      </c>
    </row>
    <row r="6">
      <c r="A6" s="7">
        <v>1005.0</v>
      </c>
      <c r="B6" s="7">
        <v>105.0</v>
      </c>
      <c r="C6" s="7">
        <v>2.0</v>
      </c>
      <c r="D6" s="7" t="s">
        <v>31</v>
      </c>
      <c r="E6" s="7" t="s">
        <v>110</v>
      </c>
      <c r="F6" s="7" t="s">
        <v>135</v>
      </c>
      <c r="G6" s="7">
        <v>350.0</v>
      </c>
      <c r="H6" s="7">
        <v>2400000.0</v>
      </c>
      <c r="I6" s="7">
        <v>14.6</v>
      </c>
    </row>
    <row r="7">
      <c r="A7" s="7">
        <v>1006.0</v>
      </c>
      <c r="B7" s="7">
        <v>106.0</v>
      </c>
      <c r="C7" s="7">
        <v>2.0</v>
      </c>
      <c r="D7" s="7" t="s">
        <v>31</v>
      </c>
      <c r="E7" s="7" t="s">
        <v>112</v>
      </c>
      <c r="F7" s="7" t="s">
        <v>136</v>
      </c>
      <c r="G7" s="7">
        <v>950.0</v>
      </c>
      <c r="H7" s="7">
        <v>5000000.0</v>
      </c>
      <c r="I7" s="7">
        <v>19.0</v>
      </c>
    </row>
    <row r="8">
      <c r="A8" s="7">
        <v>1007.0</v>
      </c>
      <c r="B8" s="7">
        <v>201.0</v>
      </c>
      <c r="C8" s="7">
        <v>3.0</v>
      </c>
      <c r="D8" s="7" t="s">
        <v>32</v>
      </c>
      <c r="E8" s="7" t="s">
        <v>116</v>
      </c>
      <c r="F8" s="7" t="s">
        <v>137</v>
      </c>
      <c r="G8" s="7">
        <v>780.0</v>
      </c>
      <c r="H8" s="7">
        <v>5200000.0</v>
      </c>
      <c r="I8" s="7">
        <v>15.0</v>
      </c>
    </row>
    <row r="9">
      <c r="A9" s="7">
        <v>1008.0</v>
      </c>
      <c r="B9" s="7">
        <v>202.0</v>
      </c>
      <c r="C9" s="7">
        <v>3.0</v>
      </c>
      <c r="D9" s="7" t="s">
        <v>32</v>
      </c>
      <c r="E9" s="7" t="s">
        <v>118</v>
      </c>
      <c r="F9" s="7" t="s">
        <v>138</v>
      </c>
      <c r="G9" s="7">
        <v>850.0</v>
      </c>
      <c r="H9" s="7">
        <v>6000000.0</v>
      </c>
      <c r="I9" s="7">
        <v>14.2</v>
      </c>
    </row>
    <row r="10">
      <c r="A10" s="7">
        <v>1009.0</v>
      </c>
      <c r="B10" s="7">
        <v>301.0</v>
      </c>
      <c r="C10" s="7">
        <v>4.0</v>
      </c>
      <c r="D10" s="7" t="s">
        <v>33</v>
      </c>
      <c r="E10" s="7" t="s">
        <v>119</v>
      </c>
      <c r="F10" s="7" t="s">
        <v>139</v>
      </c>
      <c r="G10" s="7">
        <v>520.0</v>
      </c>
      <c r="H10" s="7">
        <v>3500000.0</v>
      </c>
      <c r="I10" s="7">
        <v>14.9</v>
      </c>
    </row>
    <row r="11">
      <c r="A11" s="7">
        <v>1010.0</v>
      </c>
      <c r="B11" s="7">
        <v>302.0</v>
      </c>
      <c r="C11" s="7">
        <v>4.0</v>
      </c>
      <c r="D11" s="7" t="s">
        <v>33</v>
      </c>
      <c r="E11" s="7" t="s">
        <v>121</v>
      </c>
      <c r="F11" s="7" t="s">
        <v>140</v>
      </c>
      <c r="G11" s="7">
        <v>680.0</v>
      </c>
      <c r="H11" s="7">
        <v>4500000.0</v>
      </c>
      <c r="I11" s="7">
        <v>15.1</v>
      </c>
    </row>
    <row r="12">
      <c r="A12" s="7">
        <v>1011.0</v>
      </c>
      <c r="B12" s="7">
        <v>401.0</v>
      </c>
      <c r="C12" s="7">
        <v>5.0</v>
      </c>
      <c r="D12" s="7" t="s">
        <v>34</v>
      </c>
      <c r="E12" s="7" t="s">
        <v>123</v>
      </c>
      <c r="F12" s="7" t="s">
        <v>141</v>
      </c>
      <c r="G12" s="7">
        <v>610.0</v>
      </c>
      <c r="H12" s="7">
        <v>1200000.0</v>
      </c>
      <c r="I12" s="7">
        <v>50.8</v>
      </c>
    </row>
    <row r="13">
      <c r="A13" s="7">
        <v>1012.0</v>
      </c>
      <c r="B13" s="7">
        <v>402.0</v>
      </c>
      <c r="C13" s="7">
        <v>5.0</v>
      </c>
      <c r="D13" s="7" t="s">
        <v>34</v>
      </c>
      <c r="E13" s="7" t="s">
        <v>125</v>
      </c>
      <c r="F13" s="7" t="s">
        <v>142</v>
      </c>
      <c r="G13" s="7">
        <v>420.0</v>
      </c>
      <c r="H13" s="7">
        <v>800000.0</v>
      </c>
      <c r="I13" s="7">
        <v>52.5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32.14"/>
    <col customWidth="1" min="3" max="26" width="8.71"/>
  </cols>
  <sheetData>
    <row r="1" ht="15.75" customHeight="1">
      <c r="A1" s="2" t="s">
        <v>143</v>
      </c>
      <c r="B1" s="2" t="s">
        <v>144</v>
      </c>
    </row>
    <row r="2" ht="21.75" customHeight="1">
      <c r="A2" s="10" t="s">
        <v>145</v>
      </c>
      <c r="B2" s="11">
        <v>7.0</v>
      </c>
    </row>
    <row r="3" ht="21.75" customHeight="1">
      <c r="A3" s="10" t="s">
        <v>146</v>
      </c>
      <c r="B3" s="11">
        <v>5.0</v>
      </c>
    </row>
    <row r="4" ht="21.75" customHeight="1">
      <c r="A4" s="10" t="s">
        <v>147</v>
      </c>
      <c r="B4" s="11">
        <v>7.0</v>
      </c>
    </row>
    <row r="5" ht="21.75" customHeight="1">
      <c r="A5" s="10" t="s">
        <v>148</v>
      </c>
      <c r="B5" s="11">
        <v>5.0</v>
      </c>
    </row>
    <row r="6" ht="21.75" customHeight="1">
      <c r="A6" s="10" t="s">
        <v>149</v>
      </c>
      <c r="B6" s="11">
        <v>5.0</v>
      </c>
    </row>
    <row r="7" ht="21.75" customHeight="1">
      <c r="A7" s="10" t="s">
        <v>150</v>
      </c>
      <c r="B7" s="11">
        <v>8.0</v>
      </c>
    </row>
    <row r="8" ht="21.75" customHeight="1">
      <c r="A8" s="10" t="s">
        <v>151</v>
      </c>
      <c r="B8" s="11">
        <v>5.0</v>
      </c>
    </row>
    <row r="9" ht="21.75" customHeight="1">
      <c r="A9" s="10" t="s">
        <v>152</v>
      </c>
      <c r="B9" s="11">
        <v>7.0</v>
      </c>
    </row>
    <row r="10" ht="21.75" customHeight="1">
      <c r="A10" s="10" t="s">
        <v>153</v>
      </c>
      <c r="B10" s="11">
        <v>7.0</v>
      </c>
    </row>
    <row r="11" ht="21.75" customHeight="1">
      <c r="A11" s="10" t="s">
        <v>154</v>
      </c>
      <c r="B11" s="11">
        <v>6.0</v>
      </c>
    </row>
    <row r="12" ht="21.75" customHeight="1">
      <c r="A12" s="10" t="s">
        <v>155</v>
      </c>
      <c r="B12" s="11">
        <v>6.0</v>
      </c>
    </row>
    <row r="13" ht="21.75" customHeight="1">
      <c r="A13" s="10" t="s">
        <v>156</v>
      </c>
      <c r="B13" s="11">
        <v>7.0</v>
      </c>
    </row>
    <row r="14" ht="21.75" customHeight="1">
      <c r="A14" s="10" t="s">
        <v>157</v>
      </c>
      <c r="B14" s="11">
        <v>5.0</v>
      </c>
    </row>
    <row r="15" ht="21.75" customHeight="1">
      <c r="A15" s="10" t="s">
        <v>158</v>
      </c>
      <c r="B15" s="11">
        <v>9.0</v>
      </c>
    </row>
    <row r="16" ht="21.75" customHeight="1">
      <c r="A16" s="10" t="s">
        <v>159</v>
      </c>
      <c r="B16" s="11">
        <v>6.0</v>
      </c>
    </row>
    <row r="17" ht="21.75" customHeight="1">
      <c r="A17" s="10" t="s">
        <v>160</v>
      </c>
      <c r="B17" s="11">
        <v>7.0</v>
      </c>
    </row>
    <row r="18" ht="21.75" customHeight="1">
      <c r="A18" s="10" t="s">
        <v>161</v>
      </c>
      <c r="B18" s="11">
        <v>6.0</v>
      </c>
    </row>
    <row r="19" ht="21.75" customHeight="1">
      <c r="A19" s="10" t="s">
        <v>162</v>
      </c>
      <c r="B19" s="11">
        <v>9.0</v>
      </c>
    </row>
    <row r="20" ht="21.75" customHeight="1">
      <c r="A20" s="10" t="s">
        <v>163</v>
      </c>
      <c r="B20" s="11">
        <v>4.0</v>
      </c>
    </row>
    <row r="21" ht="21.75" customHeight="1">
      <c r="A21" s="10" t="s">
        <v>164</v>
      </c>
      <c r="B21" s="11">
        <v>6.0</v>
      </c>
    </row>
    <row r="22" ht="21.75" customHeight="1">
      <c r="A22" s="10" t="s">
        <v>165</v>
      </c>
      <c r="B22" s="11">
        <v>6.0</v>
      </c>
    </row>
    <row r="23" ht="21.75" customHeight="1">
      <c r="A23" s="10" t="s">
        <v>166</v>
      </c>
      <c r="B23" s="11">
        <v>5.0</v>
      </c>
    </row>
    <row r="24" ht="21.75" customHeight="1">
      <c r="A24" s="10" t="s">
        <v>167</v>
      </c>
      <c r="B24" s="11">
        <v>6.0</v>
      </c>
    </row>
    <row r="25" ht="21.75" customHeight="1">
      <c r="A25" s="10" t="s">
        <v>168</v>
      </c>
      <c r="B25" s="11">
        <v>7.0</v>
      </c>
    </row>
    <row r="26" ht="21.75" customHeight="1">
      <c r="A26" s="10" t="s">
        <v>169</v>
      </c>
      <c r="B26" s="11">
        <v>11.0</v>
      </c>
    </row>
    <row r="27" ht="21.75" customHeight="1">
      <c r="A27" s="10" t="s">
        <v>170</v>
      </c>
      <c r="B27" s="11">
        <v>5.0</v>
      </c>
    </row>
    <row r="28" ht="15.75" customHeight="1">
      <c r="A28" s="12" t="s">
        <v>171</v>
      </c>
      <c r="B28" s="13"/>
    </row>
    <row r="29" ht="25.5" customHeight="1">
      <c r="A29" s="10" t="s">
        <v>172</v>
      </c>
      <c r="B29" s="11">
        <v>2.0</v>
      </c>
    </row>
    <row r="30" ht="15.75" customHeight="1">
      <c r="A30" s="10" t="s">
        <v>173</v>
      </c>
      <c r="B30" s="11">
        <v>2.0</v>
      </c>
    </row>
    <row r="31" ht="25.5" customHeight="1">
      <c r="A31" s="10" t="s">
        <v>174</v>
      </c>
      <c r="B31" s="11">
        <v>2.0</v>
      </c>
    </row>
    <row r="32" ht="15.75" customHeight="1">
      <c r="A32" s="10" t="s">
        <v>175</v>
      </c>
      <c r="B32" s="11">
        <v>2.0</v>
      </c>
    </row>
    <row r="33" ht="15.75" customHeight="1">
      <c r="A33" s="10" t="s">
        <v>176</v>
      </c>
      <c r="B33" s="11">
        <v>1.0</v>
      </c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28:B2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36.14"/>
    <col customWidth="1" min="3" max="3" width="39.14"/>
    <col customWidth="1" min="4" max="26" width="8.71"/>
  </cols>
  <sheetData>
    <row r="1" ht="153.75" customHeight="1">
      <c r="A1" s="1" t="s">
        <v>177</v>
      </c>
    </row>
    <row r="2" ht="15.75" customHeight="1">
      <c r="A2" s="10" t="s">
        <v>178</v>
      </c>
      <c r="B2" s="10" t="s">
        <v>179</v>
      </c>
    </row>
    <row r="3" ht="15.75" customHeight="1">
      <c r="A3" s="3" t="s">
        <v>180</v>
      </c>
      <c r="B3" s="14"/>
    </row>
    <row r="4" ht="15.75" customHeight="1">
      <c r="A4" s="3" t="s">
        <v>181</v>
      </c>
      <c r="B4" s="14"/>
    </row>
    <row r="5" ht="15.75" customHeight="1">
      <c r="A5" s="3" t="s">
        <v>182</v>
      </c>
      <c r="B5" s="14"/>
    </row>
    <row r="6" ht="15.75" customHeight="1">
      <c r="A6" s="3" t="s">
        <v>183</v>
      </c>
      <c r="B6" s="14"/>
    </row>
    <row r="7" ht="15.75" customHeight="1">
      <c r="A7" s="3" t="s">
        <v>184</v>
      </c>
      <c r="B7" s="14"/>
    </row>
    <row r="8" ht="15.75" customHeight="1">
      <c r="A8" s="3" t="s">
        <v>185</v>
      </c>
      <c r="B8" s="14"/>
    </row>
    <row r="9" ht="15.75" customHeight="1">
      <c r="A9" s="3" t="s">
        <v>186</v>
      </c>
      <c r="B9" s="14"/>
    </row>
    <row r="10" ht="15.75" customHeight="1">
      <c r="A10" s="3" t="s">
        <v>187</v>
      </c>
      <c r="B10" s="14"/>
    </row>
    <row r="11" ht="15.75" customHeight="1">
      <c r="A11" s="3" t="s">
        <v>188</v>
      </c>
      <c r="B11" s="14"/>
    </row>
    <row r="12" ht="15.75" customHeight="1">
      <c r="A12" s="3" t="s">
        <v>189</v>
      </c>
      <c r="B12" s="14"/>
    </row>
    <row r="13" ht="15.75" customHeight="1">
      <c r="A13" s="3" t="s">
        <v>190</v>
      </c>
      <c r="B13" s="14"/>
    </row>
    <row r="14" ht="15.75" customHeight="1">
      <c r="A14" s="3" t="s">
        <v>191</v>
      </c>
      <c r="B14" s="14"/>
    </row>
    <row r="15" ht="15.75" customHeight="1">
      <c r="A15" s="3" t="s">
        <v>192</v>
      </c>
      <c r="B15" s="14"/>
    </row>
    <row r="16" ht="15.75" customHeight="1">
      <c r="A16" s="3" t="s">
        <v>193</v>
      </c>
      <c r="B16" s="14"/>
    </row>
    <row r="17" ht="15.75" customHeight="1">
      <c r="A17" s="3" t="s">
        <v>194</v>
      </c>
      <c r="B17" s="14"/>
    </row>
    <row r="18" ht="15.75" customHeight="1">
      <c r="A18" s="3" t="s">
        <v>195</v>
      </c>
      <c r="B18" s="14"/>
    </row>
    <row r="19" ht="12.75" customHeight="1">
      <c r="A19" s="14"/>
      <c r="B19" s="14"/>
    </row>
    <row r="20" ht="90.75" customHeight="1">
      <c r="A20" s="1" t="s">
        <v>196</v>
      </c>
    </row>
    <row r="21" ht="15.75" customHeight="1">
      <c r="A21" s="15" t="s">
        <v>197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C1"/>
    <mergeCell ref="A20:C20"/>
    <mergeCell ref="A21:C2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3" width="36.14"/>
    <col customWidth="1" min="4" max="4" width="2.71"/>
    <col customWidth="1" min="5" max="26" width="8.71"/>
  </cols>
  <sheetData>
    <row r="1" ht="15.75" customHeight="1">
      <c r="A1" s="10" t="s">
        <v>198</v>
      </c>
      <c r="B1" s="10" t="s">
        <v>199</v>
      </c>
    </row>
    <row r="2" ht="15.75" customHeight="1">
      <c r="A2" s="16" t="s">
        <v>200</v>
      </c>
      <c r="B2" s="14"/>
    </row>
    <row r="3" ht="15.75" customHeight="1">
      <c r="A3" s="17" t="s">
        <v>201</v>
      </c>
      <c r="B3" s="14"/>
    </row>
    <row r="4" ht="15.75" customHeight="1">
      <c r="A4" s="17" t="s">
        <v>202</v>
      </c>
      <c r="B4" s="14"/>
    </row>
    <row r="5" ht="15.75" customHeight="1">
      <c r="A5" s="17" t="s">
        <v>203</v>
      </c>
      <c r="B5" s="14"/>
    </row>
    <row r="6" ht="15.75" customHeight="1">
      <c r="A6" s="17" t="s">
        <v>204</v>
      </c>
      <c r="B6" s="14"/>
    </row>
    <row r="7" ht="15.75" customHeight="1">
      <c r="A7" s="17" t="s">
        <v>205</v>
      </c>
      <c r="B7" s="14"/>
    </row>
    <row r="8" ht="15.75" customHeight="1">
      <c r="A8" s="17" t="s">
        <v>206</v>
      </c>
      <c r="B8" s="14"/>
    </row>
    <row r="9" ht="15.75" customHeight="1">
      <c r="A9" s="17" t="s">
        <v>207</v>
      </c>
      <c r="B9" s="14"/>
    </row>
    <row r="10" ht="99.75" customHeight="1">
      <c r="A10" s="1" t="s">
        <v>208</v>
      </c>
    </row>
    <row r="11" ht="15.75" customHeight="1">
      <c r="A11" s="10" t="s">
        <v>209</v>
      </c>
      <c r="B11" s="10" t="s">
        <v>210</v>
      </c>
      <c r="C11" s="10" t="s">
        <v>211</v>
      </c>
    </row>
    <row r="12" ht="17.25" customHeight="1">
      <c r="A12" s="10" t="s">
        <v>212</v>
      </c>
      <c r="B12" s="18">
        <v>5.0</v>
      </c>
      <c r="C12" s="14"/>
    </row>
    <row r="13" ht="15.75" customHeight="1">
      <c r="A13" s="10" t="s">
        <v>213</v>
      </c>
      <c r="B13" s="4">
        <v>3.0</v>
      </c>
      <c r="C13" s="14"/>
    </row>
    <row r="14" ht="15.75" customHeight="1">
      <c r="A14" s="16" t="s">
        <v>214</v>
      </c>
      <c r="B14" s="4">
        <v>3.0</v>
      </c>
      <c r="C14" s="14"/>
    </row>
    <row r="15" ht="15.75" customHeight="1">
      <c r="A15" s="16" t="s">
        <v>215</v>
      </c>
      <c r="B15" s="4">
        <v>4.0</v>
      </c>
      <c r="C15" s="14"/>
    </row>
    <row r="16" ht="15.75" customHeight="1">
      <c r="A16" s="16" t="s">
        <v>216</v>
      </c>
      <c r="B16" s="4">
        <v>3.0</v>
      </c>
      <c r="C16" s="14"/>
    </row>
    <row r="17" ht="15.75" customHeight="1">
      <c r="A17" s="16" t="s">
        <v>217</v>
      </c>
      <c r="B17" s="4">
        <v>3.0</v>
      </c>
      <c r="C17" s="14"/>
    </row>
    <row r="18" ht="15.75" customHeight="1">
      <c r="A18" s="16" t="s">
        <v>218</v>
      </c>
      <c r="B18" s="4">
        <v>3.0</v>
      </c>
      <c r="C18" s="14"/>
    </row>
    <row r="19" ht="15.75" customHeight="1">
      <c r="A19" s="16" t="s">
        <v>219</v>
      </c>
      <c r="B19" s="4">
        <v>3.0</v>
      </c>
      <c r="C19" s="14"/>
    </row>
    <row r="20" ht="15.75" customHeight="1">
      <c r="A20" s="16" t="s">
        <v>220</v>
      </c>
      <c r="B20" s="4">
        <v>3.0</v>
      </c>
      <c r="C20" s="14"/>
    </row>
    <row r="21" ht="15.75" customHeight="1">
      <c r="A21" s="16" t="s">
        <v>221</v>
      </c>
      <c r="B21" s="4">
        <v>3.0</v>
      </c>
      <c r="C21" s="14"/>
    </row>
    <row r="22" ht="15.75" customHeight="1">
      <c r="A22" s="16" t="s">
        <v>222</v>
      </c>
      <c r="B22" s="4">
        <v>3.0</v>
      </c>
      <c r="C22" s="14"/>
    </row>
    <row r="23" ht="15.75" customHeight="1">
      <c r="A23" s="16" t="s">
        <v>223</v>
      </c>
      <c r="B23" s="4">
        <v>4.0</v>
      </c>
      <c r="C23" s="14"/>
    </row>
    <row r="24" ht="15.75" customHeight="1">
      <c r="A24" s="16" t="s">
        <v>224</v>
      </c>
      <c r="B24" s="4">
        <v>3.0</v>
      </c>
      <c r="C24" s="14"/>
    </row>
    <row r="25" ht="15.75" customHeight="1">
      <c r="A25" s="16" t="s">
        <v>225</v>
      </c>
      <c r="B25" s="4">
        <v>3.0</v>
      </c>
      <c r="C25" s="14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0:D10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4"/>
    <hyperlink r:id="rId10" ref="A15"/>
    <hyperlink r:id="rId11" ref="A16"/>
    <hyperlink r:id="rId12" ref="A17"/>
    <hyperlink r:id="rId13" ref="A18"/>
    <hyperlink r:id="rId14" ref="A19"/>
    <hyperlink r:id="rId15" ref="A20"/>
    <hyperlink r:id="rId16" ref="A21"/>
    <hyperlink r:id="rId17" ref="A22"/>
    <hyperlink r:id="rId18" ref="A23"/>
    <hyperlink r:id="rId19" ref="A24"/>
    <hyperlink r:id="rId20" ref="A25"/>
  </hyperlinks>
  <printOptions/>
  <pageMargins bottom="0.75" footer="0.0" header="0.0" left="0.7" right="0.7" top="0.75"/>
  <pageSetup orientation="landscape"/>
  <drawing r:id="rId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2025-11-10T06:16:02Z</dcterms:created>
  <dc:creator>FERNANDES CO, Isaias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2025-11-10T00:00:00Z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2025-11-10T00:00:00Z</vt:filetime>
  </property>
  <property fmtid="{D5CDD505-2E9C-101B-9397-08002B2CF9AE}" pid="5" name="Producer">
    <vt:lpwstr>3-Heights(TM) PDF Security Shell 4.8.25.2 (http://www.pdf-tools.com)</vt:lpwstr>
  </property>
</Properties>
</file>